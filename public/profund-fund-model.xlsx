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ssumptions" sheetId="2" r:id="rId2"/>
    <sheet name="Lines" sheetId="3" r:id="rId3"/>
    <sheet name="Construction" sheetId="4" r:id="rId4"/>
    <sheet name="Cash flows" sheetId="5" r:id="rId5"/>
    <sheet name="Performance" sheetId="6" r:id="rId6"/>
    <sheet name="Checks" sheetId="7" r:id="rId7"/>
  </sheets>
  <definedNames>
    <definedName name="CapBase">Assumptions!$B$36</definedName>
    <definedName name="CapStress">Assumptions!$B$37</definedName>
    <definedName name="CapTarget">Assumptions!$B$35</definedName>
    <definedName name="Carry">Assumptions!$B$21</definedName>
    <definedName name="CatchUp">Assumptions!$B$23</definedName>
    <definedName name="ChecksStatus">Checks!$A$4</definedName>
    <definedName name="ClosingMonths">Assumptions!$B$8</definedName>
    <definedName name="Commitments">Assumptions!$B$5</definedName>
    <definedName name="CompanyCap">Assumptions!$B$10</definedName>
    <definedName name="CompanyCapPct">Assumptions!$B$9</definedName>
    <definedName name="CompanyMaxSPV">Assumptions!$B$11</definedName>
    <definedName name="EuropeMinPct">Assumptions!$B$12</definedName>
    <definedName name="FeeFirstClose">Assumptions!$B$18</definedName>
    <definedName name="FeeIP">Assumptions!$B$16</definedName>
    <definedName name="FeePost">Assumptions!$B$17</definedName>
    <definedName name="GPCommitMin">Assumptions!$B$25</definedName>
    <definedName name="GPCommitPct">Assumptions!$B$24</definedName>
    <definedName name="GrowthDirectMin">Assumptions!$D$48</definedName>
    <definedName name="Horizon">'Cash flows'!$B$4</definedName>
    <definedName name="Hurdle">Assumptions!$B$22</definedName>
    <definedName name="IPYears">Assumptions!$B$7</definedName>
    <definedName name="QualifyingMinPct">Assumptions!$B$13</definedName>
    <definedName name="ResSeed_bridges">Assumptions!$B$55</definedName>
    <definedName name="ResSeed_graduation_pct">Assumptions!$B$52</definedName>
    <definedName name="ResSeed_next_round">Assumptions!$B$53</definedName>
    <definedName name="ResSeed_pro_rata_pct">Assumptions!$B$54</definedName>
    <definedName name="ResVenture_bridges">Assumptions!$C$55</definedName>
    <definedName name="ResVenture_graduation_pct">Assumptions!$C$52</definedName>
    <definedName name="ResVenture_next_round">Assumptions!$C$53</definedName>
    <definedName name="ResVenture_pro_rata_pct">Assumptions!$C$54</definedName>
    <definedName name="RunningCost">Assumptions!$B$20</definedName>
    <definedName name="SecCo1">Assumptions!$B$31</definedName>
    <definedName name="SecCo2">Assumptions!$B$32</definedName>
    <definedName name="SecPrice">Assumptions!$B$30</definedName>
    <definedName name="SecShare">Assumptions!$B$28</definedName>
    <definedName name="SecYear">Assumptions!$B$29</definedName>
    <definedName name="SetupCost">Assumptions!$B$19</definedName>
    <definedName name="TailCost">'Cash flows'!$B$5</definedName>
    <definedName name="TermYears">Assumptions!$B$6</definedName>
  </definedNames>
  <calcPr calcId="124519" fullCalcOnLoad="1"/>
</workbook>
</file>

<file path=xl/sharedStrings.xml><?xml version="1.0" encoding="utf-8"?>
<sst xmlns="http://schemas.openxmlformats.org/spreadsheetml/2006/main" count="737" uniqueCount="544">
  <si>
    <t>ProFund Fund I — Fund model (v2)</t>
  </si>
  <si>
    <t>Model date 2026-10-29 · Seed to Growth · amounts in euros · contact alexandre@profund.vc</t>
  </si>
  <si>
    <t>PRE-MARKETING</t>
  </si>
  <si>
    <t>This document is a pre-marketing communication within the meaning of Article 4a of Regulation (EU) No 345/2013 (EuVECA). The fund is not yet established and no units may be subscribed at this stage. For professional and eligible investors only.</t>
  </si>
  <si>
    <t>All projections, targets, simulated portfolios, and return figures (IRR/DPI/MOIC) are indicative, hypothetical, and illustrative; actual results may differ materially.</t>
  </si>
  <si>
    <t>Fund expenses are an estimate pending the EuVECA manager's quote.</t>
  </si>
  <si>
    <t>Status</t>
  </si>
  <si>
    <t>Tabs</t>
  </si>
  <si>
    <t>Assumptions</t>
  </si>
  <si>
    <t>Fund size, terms and fees, the partial secondary sale, the cap of each case, layer bounds and the follow-on reserve policy.</t>
  </si>
  <si>
    <t>Lines</t>
  </si>
  <si>
    <t>The simulation lines (Seed S-, Venture V-, Growth G-): entry, follow-on and exit inputs, then proceeds and MOIC per case, with layer subtotals.</t>
  </si>
  <si>
    <t>Construction</t>
  </si>
  <si>
    <t>Portfolio by layer, capital allocation, reserves vs policy, exposure per company and the fund returner.</t>
  </si>
  <si>
    <t>Cash flows</t>
  </si>
  <si>
    <t>Yearly flows per case: investments, exits incl. the year-6 secondary, fees, expenses, capital calls, the European waterfall step by step, LP and GP flows; net TVPI, IRR and DPI.</t>
  </si>
  <si>
    <t>Performance</t>
  </si>
  <si>
    <t>The Fund Performance table shown on profund.vc/pitch, linked to the tabs above.</t>
  </si>
  <si>
    <t>Checks</t>
  </si>
  <si>
    <t>Every output compared with the Python model the site and the fact sheet read (scripts/fund_model.py → src/data/fund.json). Change an input and they turn red: the workbook then shows your case, no longer the published one.</t>
  </si>
  <si>
    <t>Conventions</t>
  </si>
  <si>
    <t>Blue</t>
  </si>
  <si>
    <t>Input: change it and the whole workbook recalculates (Excel, LibreOffice, Google Sheets).</t>
  </si>
  <si>
    <t>Black</t>
  </si>
  <si>
    <t>Formula.</t>
  </si>
  <si>
    <t>Green</t>
  </si>
  <si>
    <t>Check against the Python model.</t>
  </si>
  <si>
    <t>Years</t>
  </si>
  <si>
    <t>Year 1 = year of the first closing; all flows at year end.</t>
  </si>
  <si>
    <t>Rounding</t>
  </si>
  <si>
    <t>Every amount is rounded to its display grain (EUR 10K below EUR 1M, EUR 100K above) before any sum, as in the Python model; ratios at their display precision.</t>
  </si>
  <si>
    <t>Blue cells are inputs: change one and the whole workbook recalculates.</t>
  </si>
  <si>
    <t>Fund</t>
  </si>
  <si>
    <t>Commitments (target Fund I)</t>
  </si>
  <si>
    <t>Fund term (years)</t>
  </si>
  <si>
    <t>Investment period (years)</t>
  </si>
  <si>
    <t>Management fee on commitments during this period</t>
  </si>
  <si>
    <t>Successive closings after the first (months)</t>
  </si>
  <si>
    <t>Information; flows start at year 1 = year of first closing</t>
  </si>
  <si>
    <t>Max per company from the fund (% of commitments)</t>
  </si>
  <si>
    <t>Max per company from the fund</t>
  </si>
  <si>
    <t>Max per company with co-investment SPVs</t>
  </si>
  <si>
    <t>Above the fund's cap: one or several SPVs offered to investors, outside the fund</t>
  </si>
  <si>
    <t>Europe (EU/EEA, UK, Switzerland), minimum</t>
  </si>
  <si>
    <t>Information</t>
  </si>
  <si>
    <t>EuVECA qualifying investments, minimum</t>
  </si>
  <si>
    <t>Terms</t>
  </si>
  <si>
    <t>Management fee during the investment period, on commitments</t>
  </si>
  <si>
    <t>Management fee after, on invested capital still held (at cost)</t>
  </si>
  <si>
    <t>Management fee, first-close investors</t>
  </si>
  <si>
    <t>Information only: the model keeps the standard fee (prudent)</t>
  </si>
  <si>
    <t>Set-up cost (year 1)</t>
  </si>
  <si>
    <t>Running cost per year (platform, administration, audit)</t>
  </si>
  <si>
    <t>Carried interest</t>
  </si>
  <si>
    <t>Hurdle (compounded annually)</t>
  </si>
  <si>
    <t>European whole-of-fund waterfall</t>
  </si>
  <si>
    <t>GP catch-up</t>
  </si>
  <si>
    <t>GP commitment, minimum (% of commitments)</t>
  </si>
  <si>
    <t>GP commitment, minimum</t>
  </si>
  <si>
    <t>Early liquidity: partial secondary sale of the winners</t>
  </si>
  <si>
    <t>Share of the position sold</t>
  </si>
  <si>
    <t>Year of the secondary sale</t>
  </si>
  <si>
    <t>Applies to every line of these companies that exits after this year</t>
  </si>
  <si>
    <t>Price, % of the exit value</t>
  </si>
  <si>
    <t>Company 1 sold in part</t>
  </si>
  <si>
    <t>S-01</t>
  </si>
  <si>
    <t>Company 2 sold in part</t>
  </si>
  <si>
    <t>V-01</t>
  </si>
  <si>
    <t>Cases: cap applied to every exit value, everything else unchanged</t>
  </si>
  <si>
    <t>Target case, exit value cap</t>
  </si>
  <si>
    <t>none</t>
  </si>
  <si>
    <t>Type an amount to cap, or 'none'</t>
  </si>
  <si>
    <t>Base case, exit value cap</t>
  </si>
  <si>
    <t>Stress case, exit value cap</t>
  </si>
  <si>
    <t>Layer bounds (portfolio construction rules)</t>
  </si>
  <si>
    <t>Seed</t>
  </si>
  <si>
    <t>Venture</t>
  </si>
  <si>
    <t>Growth</t>
  </si>
  <si>
    <t>Initial ticket, minimum</t>
  </si>
  <si>
    <t>Initial ticket, maximum</t>
  </si>
  <si>
    <t>Entry post-money, minimum</t>
  </si>
  <si>
    <t>Entry post-money, maximum</t>
  </si>
  <si>
    <t>Entry stake, minimum</t>
  </si>
  <si>
    <t>Entry stake, maximum</t>
  </si>
  <si>
    <t>Companies (new entries)</t>
  </si>
  <si>
    <t>Growth: direct entries, minimum share of the layer</t>
  </si>
  <si>
    <t>Follow-on reserve policy (expected value)</t>
  </si>
  <si>
    <t>Share of companies raising the next round</t>
  </si>
  <si>
    <t>Next round size</t>
  </si>
  <si>
    <t>Pro-rata stake</t>
  </si>
  <si>
    <t>Bridges</t>
  </si>
  <si>
    <t>Fund simulation — line by line</t>
  </si>
  <si>
    <t>Seed (S-), Venture (V-) and Growth (G-) lines. A line may group several companies (n): initial and follow-on are line totals. Blue = input, black = formula.</t>
  </si>
  <si>
    <t>INPUTS</t>
  </si>
  <si>
    <t>FORMULAS</t>
  </si>
  <si>
    <t>CASH-FLOW HELPERS (used by the Cash flows tab)</t>
  </si>
  <si>
    <t>Deal ID</t>
  </si>
  <si>
    <t>Layer</t>
  </si>
  <si>
    <t>Company (exit key)</t>
  </si>
  <si>
    <t>Companies on the line</t>
  </si>
  <si>
    <t>Outcome</t>
  </si>
  <si>
    <t>Kind</t>
  </si>
  <si>
    <t>Initial tickets (line total)</t>
  </si>
  <si>
    <t>Entry post-money (per company)</t>
  </si>
  <si>
    <t>Follow-on (line total)</t>
  </si>
  <si>
    <t>Entry year</t>
  </si>
  <si>
    <t>Follow-on year</t>
  </si>
  <si>
    <t>Exit year</t>
  </si>
  <si>
    <t>Exit stake (diluted)</t>
  </si>
  <si>
    <t>Exit value (100%)</t>
  </si>
  <si>
    <t>Recovery multiple (if no exit value)</t>
  </si>
  <si>
    <t>Invested</t>
  </si>
  <si>
    <t>Invested per company</t>
  </si>
  <si>
    <t>Entry stake</t>
  </si>
  <si>
    <t>Proceeds · Target</t>
  </si>
  <si>
    <t>Proceeds · Base</t>
  </si>
  <si>
    <t>Proceeds · Stress</t>
  </si>
  <si>
    <t>MOIC · Target</t>
  </si>
  <si>
    <t>MOIC · Base</t>
  </si>
  <si>
    <t>MOIC · Stress</t>
  </si>
  <si>
    <t>Target · secondary sale proceeds</t>
  </si>
  <si>
    <t>Target · proceeds at exit year</t>
  </si>
  <si>
    <t>Target · cost sold in secondary</t>
  </si>
  <si>
    <t>Target · cost at exit year</t>
  </si>
  <si>
    <t>Base · secondary sale proceeds</t>
  </si>
  <si>
    <t>Base · proceeds at exit year</t>
  </si>
  <si>
    <t>Base · cost sold in secondary</t>
  </si>
  <si>
    <t>Base · cost at exit year</t>
  </si>
  <si>
    <t>Stress · secondary sale proceeds</t>
  </si>
  <si>
    <t>Stress · proceeds at exit year</t>
  </si>
  <si>
    <t>Stress · cost sold in secondary</t>
  </si>
  <si>
    <t>Stress · cost at exit year</t>
  </si>
  <si>
    <t>Fund returner</t>
  </si>
  <si>
    <t>new</t>
  </si>
  <si>
    <t>S-02</t>
  </si>
  <si>
    <t>Breakout</t>
  </si>
  <si>
    <t>S-03</t>
  </si>
  <si>
    <t>S-04</t>
  </si>
  <si>
    <t>Strategic exit</t>
  </si>
  <si>
    <t>S-05</t>
  </si>
  <si>
    <t>Early exit (M&amp;A)</t>
  </si>
  <si>
    <t>S-06</t>
  </si>
  <si>
    <t>S-07–09</t>
  </si>
  <si>
    <t>S-07</t>
  </si>
  <si>
    <t>Zombies (×3)</t>
  </si>
  <si>
    <t>S-10–18</t>
  </si>
  <si>
    <t>S-10</t>
  </si>
  <si>
    <t>Losses (×9)</t>
  </si>
  <si>
    <t>Anchor</t>
  </si>
  <si>
    <t>V-02</t>
  </si>
  <si>
    <t>Strategic win</t>
  </si>
  <si>
    <t>V-03</t>
  </si>
  <si>
    <t>V-04</t>
  </si>
  <si>
    <t>Base hit</t>
  </si>
  <si>
    <t>V-05/06</t>
  </si>
  <si>
    <t>V-05</t>
  </si>
  <si>
    <t>Zombies (×2)</t>
  </si>
  <si>
    <t>V-07/08</t>
  </si>
  <si>
    <t>V-07</t>
  </si>
  <si>
    <t>Losses (×2)</t>
  </si>
  <si>
    <t>G-01</t>
  </si>
  <si>
    <t>Breakout (S-01)</t>
  </si>
  <si>
    <t>follow_on</t>
  </si>
  <si>
    <t>G-02</t>
  </si>
  <si>
    <t>Breakout (V-01)</t>
  </si>
  <si>
    <t>G-03</t>
  </si>
  <si>
    <t>Breakout (S-02)</t>
  </si>
  <si>
    <t>G-07</t>
  </si>
  <si>
    <t>Direct growth entry</t>
  </si>
  <si>
    <t>G-08</t>
  </si>
  <si>
    <t>G-09</t>
  </si>
  <si>
    <t>Downside, preference</t>
  </si>
  <si>
    <t>SUB</t>
  </si>
  <si>
    <t>(Seed)</t>
  </si>
  <si>
    <t>(Venture)</t>
  </si>
  <si>
    <t>(Growth)</t>
  </si>
  <si>
    <t>TOTAL</t>
  </si>
  <si>
    <t>Proceeds = exit stake × exit value (capped in Base and Stress), or recovery multiple × invested; rounded to EUR 10K below EUR 1M and EUR 100K above, before any sum. Proceeds are shown at exit value; the year-6 partial secondary sale is in the helpers and the Cash flows tab.</t>
  </si>
  <si>
    <t>Cash flows — yearly, per case</t>
  </si>
  <si>
    <t>Year 1 = year of the first closing; all flows at year end. Columns after the horizon stay at zero. Base and Stress cap every exit value; everything else is unchanged.</t>
  </si>
  <si>
    <t>Horizon (last exit year)</t>
  </si>
  <si>
    <t>Running costs of the years after the horizon (set aside from the last distribution)</t>
  </si>
  <si>
    <t>Euros</t>
  </si>
  <si>
    <t>Total</t>
  </si>
  <si>
    <t>TARGET CASE — exit values uncapped</t>
  </si>
  <si>
    <t>Investments (initial tickets and follow-ons)</t>
  </si>
  <si>
    <t>Exit proceeds received, incl. the partial secondary sale</t>
  </si>
  <si>
    <t>Running costs of the years after the horizon, set aside</t>
  </si>
  <si>
    <t>Distributable proceeds</t>
  </si>
  <si>
    <t>Cost of the positions sold</t>
  </si>
  <si>
    <t xml:space="preserve">     Net invested capital at cost, end of year</t>
  </si>
  <si>
    <t>Management fees</t>
  </si>
  <si>
    <t>Fund expenses</t>
  </si>
  <si>
    <t>Capital calls</t>
  </si>
  <si>
    <t xml:space="preserve">     Hurdle balance before distribution (capital + 8% compounded)</t>
  </si>
  <si>
    <t>1. Return of capital and preferred return to LPs</t>
  </si>
  <si>
    <t xml:space="preserve">     Hurdle balance after distribution</t>
  </si>
  <si>
    <t xml:space="preserve">     Cumulative contributions</t>
  </si>
  <si>
    <t xml:space="preserve">     Remaining after step 1</t>
  </si>
  <si>
    <t xml:space="preserve">     Cumulative paid out after step 1</t>
  </si>
  <si>
    <t>2. GP catch-up</t>
  </si>
  <si>
    <t xml:space="preserve">     Remaining after step 2</t>
  </si>
  <si>
    <t>3. Split: to LPs</t>
  </si>
  <si>
    <t>3. Split: carried interest to the GP</t>
  </si>
  <si>
    <t xml:space="preserve">     Cumulative paid out</t>
  </si>
  <si>
    <t xml:space="preserve">     Cumulative carried interest</t>
  </si>
  <si>
    <t>LP distributions</t>
  </si>
  <si>
    <t>GP carried interest</t>
  </si>
  <si>
    <t>Net LP cash flow (distributions − calls)</t>
  </si>
  <si>
    <t>Gross fund cash flow (exit proceeds − investments)</t>
  </si>
  <si>
    <t>Outputs — Target case</t>
  </si>
  <si>
    <t>Gross exit value</t>
  </si>
  <si>
    <t>Realised (exit proceeds incl. secondary)</t>
  </si>
  <si>
    <t>Secondary discount</t>
  </si>
  <si>
    <t>Paid-in capital</t>
  </si>
  <si>
    <t>Net TVPI</t>
  </si>
  <si>
    <t>Net IRR</t>
  </si>
  <si>
    <t>Gross IRR</t>
  </si>
  <si>
    <t>Net DPI by year 6</t>
  </si>
  <si>
    <t>GP clawback (must be zero)</t>
  </si>
  <si>
    <t>BASE CASE — every exit value capped (Assumptions)</t>
  </si>
  <si>
    <t>Outputs — Base case</t>
  </si>
  <si>
    <t>STRESS CASE — every exit value capped lower (Assumptions)</t>
  </si>
  <si>
    <t>Outputs — Stress case</t>
  </si>
  <si>
    <t>Portfolio construction</t>
  </si>
  <si>
    <t>Per layer, capital allocation, reserve policy and exposure per company.</t>
  </si>
  <si>
    <t>Portfolio by layer</t>
  </si>
  <si>
    <t>Positions (lines)</t>
  </si>
  <si>
    <t>Initial tickets</t>
  </si>
  <si>
    <t>Follow-on</t>
  </si>
  <si>
    <t>Of which in our breakouts</t>
  </si>
  <si>
    <t>Direct entries</t>
  </si>
  <si>
    <t>Gross MOIC · Target</t>
  </si>
  <si>
    <t>Gross MOIC · Base</t>
  </si>
  <si>
    <t>Gross MOIC · Stress</t>
  </si>
  <si>
    <t>Capital allocation</t>
  </si>
  <si>
    <t>Seed — invested</t>
  </si>
  <si>
    <t>Venture — invested</t>
  </si>
  <si>
    <t>Growth — invested</t>
  </si>
  <si>
    <t xml:space="preserve">  of which initial tickets in new companies</t>
  </si>
  <si>
    <t xml:space="preserve">  of which follow-ons (reserves and our breakouts)</t>
  </si>
  <si>
    <t xml:space="preserve">  follow-on share of invested capital</t>
  </si>
  <si>
    <t>Management fees (Target case)</t>
  </si>
  <si>
    <t>Fund expenses, incl. set-up (Target case)</t>
  </si>
  <si>
    <t>Contingency</t>
  </si>
  <si>
    <t>Total commitments</t>
  </si>
  <si>
    <t>Follow-on reserves vs policy (expected value)</t>
  </si>
  <si>
    <t>Companies</t>
  </si>
  <si>
    <t>Expected follow-on</t>
  </si>
  <si>
    <t>Modelled follow-on</t>
  </si>
  <si>
    <t>Gap</t>
  </si>
  <si>
    <t>Within 5%</t>
  </si>
  <si>
    <t>Exposure per company (all lines, per company) and fund returner</t>
  </si>
  <si>
    <t>Company</t>
  </si>
  <si>
    <t>Invested by the fund</t>
  </si>
  <si>
    <t>Cap from the fund</t>
  </si>
  <si>
    <t>Within cap</t>
  </si>
  <si>
    <t>Proceeds · Target (all lines)</t>
  </si>
  <si>
    <t>SPV top-up to the max per company</t>
  </si>
  <si>
    <t>SPV top-ups, total (outside the fund)</t>
  </si>
  <si>
    <t>Fund returner (largest proceeds, Target)</t>
  </si>
  <si>
    <t xml:space="preserve">  its proceeds, all lines</t>
  </si>
  <si>
    <t xml:space="preserve">  multiple of the fund</t>
  </si>
  <si>
    <t>Fund performance — target returns, built line by line</t>
  </si>
  <si>
    <t>Net of fees, expenses and carried interest. The table shown on profund.vc/pitch.</t>
  </si>
  <si>
    <t>Metric</t>
  </si>
  <si>
    <t>Target</t>
  </si>
  <si>
    <t>Base</t>
  </si>
  <si>
    <t>Stress</t>
  </si>
  <si>
    <t>Fund size</t>
  </si>
  <si>
    <t>Year-6 secondary discount</t>
  </si>
  <si>
    <t>Gross MOIC · Seed</t>
  </si>
  <si>
    <t>Gross MOIC · Venture</t>
  </si>
  <si>
    <t>Gross MOIC · Growth</t>
  </si>
  <si>
    <t>More outputs</t>
  </si>
  <si>
    <t>Net = after management fees (on commitments during the investment period, then on invested capital), fund expenses and carried interest (European whole-of-fund waterfall with a hurdle and GP catch-up), before tax. The Target case assumes one fund returner and a partial secondary sale of the two largest winners (see Assumptions). Base and Stress cap every exit value; everything else is unchanged. Targets are model outputs, not a forecast or a guarantee.</t>
  </si>
  <si>
    <t>Checks — this workbook vs the Python model</t>
  </si>
  <si>
    <t>Every output recalculated here is compared with the published model, scripts/fund_model.py (src/data/fund.json): change an input and these checks turn red by design.</t>
  </si>
  <si>
    <t>Check</t>
  </si>
  <si>
    <t>This workbook</t>
  </si>
  <si>
    <t>Python model (fund.json)</t>
  </si>
  <si>
    <t>Difference</t>
  </si>
  <si>
    <t>Target · Gross exit value</t>
  </si>
  <si>
    <t>Target · Realised (exit proceeds incl. secondary)</t>
  </si>
  <si>
    <t>Target · Secondary discount</t>
  </si>
  <si>
    <t>Target · Paid-in capital</t>
  </si>
  <si>
    <t>Target · Management fees</t>
  </si>
  <si>
    <t>Target · Fund expenses</t>
  </si>
  <si>
    <t>Target · LP distributions</t>
  </si>
  <si>
    <t>Target · Carried interest</t>
  </si>
  <si>
    <t>Target · Net TVPI</t>
  </si>
  <si>
    <t>Target · Net IRR</t>
  </si>
  <si>
    <t>Target · Gross IRR</t>
  </si>
  <si>
    <t>Target · Net DPI by year 6</t>
  </si>
  <si>
    <t>Target · capital calls, year 1 (rounded)</t>
  </si>
  <si>
    <t>Target · capital calls, year 2 (rounded)</t>
  </si>
  <si>
    <t>Target · capital calls, year 3 (rounded)</t>
  </si>
  <si>
    <t>Target · capital calls, year 4 (rounded)</t>
  </si>
  <si>
    <t>Target · capital calls, year 5 (rounded)</t>
  </si>
  <si>
    <t>Target · capital calls, year 6 (rounded)</t>
  </si>
  <si>
    <t>Target · capital calls, year 7 (rounded)</t>
  </si>
  <si>
    <t>Target · capital calls, year 8 (rounded)</t>
  </si>
  <si>
    <t>Target · distributions, year 1 (rounded)</t>
  </si>
  <si>
    <t>Target · distributions, year 2 (rounded)</t>
  </si>
  <si>
    <t>Target · distributions, year 3 (rounded)</t>
  </si>
  <si>
    <t>Target · distributions, year 4 (rounded)</t>
  </si>
  <si>
    <t>Target · distributions, year 5 (rounded)</t>
  </si>
  <si>
    <t>Target · distributions, year 6 (rounded)</t>
  </si>
  <si>
    <t>Target · distributions, year 7 (rounded)</t>
  </si>
  <si>
    <t>Target · distributions, year 8 (rounded)</t>
  </si>
  <si>
    <t>Target · LP distributions, year 1 (rounded)</t>
  </si>
  <si>
    <t>Target · LP distributions, year 2 (rounded)</t>
  </si>
  <si>
    <t>Target · LP distributions, year 3 (rounded)</t>
  </si>
  <si>
    <t>Target · LP distributions, year 4 (rounded)</t>
  </si>
  <si>
    <t>Target · LP distributions, year 5 (rounded)</t>
  </si>
  <si>
    <t>Target · LP distributions, year 6 (rounded)</t>
  </si>
  <si>
    <t>Target · LP distributions, year 7 (rounded)</t>
  </si>
  <si>
    <t>Target · LP distributions, year 8 (rounded)</t>
  </si>
  <si>
    <t>Target · carried interest, year 1 (rounded)</t>
  </si>
  <si>
    <t>Target · carried interest, year 2 (rounded)</t>
  </si>
  <si>
    <t>Target · carried interest, year 3 (rounded)</t>
  </si>
  <si>
    <t>Target · carried interest, year 4 (rounded)</t>
  </si>
  <si>
    <t>Target · carried interest, year 5 (rounded)</t>
  </si>
  <si>
    <t>Target · carried interest, year 6 (rounded)</t>
  </si>
  <si>
    <t>Target · carried interest, year 7 (rounded)</t>
  </si>
  <si>
    <t>Target · carried interest, year 8 (rounded)</t>
  </si>
  <si>
    <t>Base · Gross exit value</t>
  </si>
  <si>
    <t>Base · Realised (exit proceeds incl. secondary)</t>
  </si>
  <si>
    <t>Base · Secondary discount</t>
  </si>
  <si>
    <t>Base · Paid-in capital</t>
  </si>
  <si>
    <t>Base · Management fees</t>
  </si>
  <si>
    <t>Base · Fund expenses</t>
  </si>
  <si>
    <t>Base · LP distributions</t>
  </si>
  <si>
    <t>Base · Carried interest</t>
  </si>
  <si>
    <t>Base · Net TVPI</t>
  </si>
  <si>
    <t>Base · Net IRR</t>
  </si>
  <si>
    <t>Base · Gross IRR</t>
  </si>
  <si>
    <t>Base · Net DPI by year 6</t>
  </si>
  <si>
    <t>Base · capital calls, year 1 (rounded)</t>
  </si>
  <si>
    <t>Base · capital calls, year 2 (rounded)</t>
  </si>
  <si>
    <t>Base · capital calls, year 3 (rounded)</t>
  </si>
  <si>
    <t>Base · capital calls, year 4 (rounded)</t>
  </si>
  <si>
    <t>Base · capital calls, year 5 (rounded)</t>
  </si>
  <si>
    <t>Base · capital calls, year 6 (rounded)</t>
  </si>
  <si>
    <t>Base · capital calls, year 7 (rounded)</t>
  </si>
  <si>
    <t>Base · capital calls, year 8 (rounded)</t>
  </si>
  <si>
    <t>Base · distributions, year 1 (rounded)</t>
  </si>
  <si>
    <t>Base · distributions, year 2 (rounded)</t>
  </si>
  <si>
    <t>Base · distributions, year 3 (rounded)</t>
  </si>
  <si>
    <t>Base · distributions, year 4 (rounded)</t>
  </si>
  <si>
    <t>Base · distributions, year 5 (rounded)</t>
  </si>
  <si>
    <t>Base · distributions, year 6 (rounded)</t>
  </si>
  <si>
    <t>Base · distributions, year 7 (rounded)</t>
  </si>
  <si>
    <t>Base · distributions, year 8 (rounded)</t>
  </si>
  <si>
    <t>Base · LP distributions, year 1 (rounded)</t>
  </si>
  <si>
    <t>Base · LP distributions, year 2 (rounded)</t>
  </si>
  <si>
    <t>Base · LP distributions, year 3 (rounded)</t>
  </si>
  <si>
    <t>Base · LP distributions, year 4 (rounded)</t>
  </si>
  <si>
    <t>Base · LP distributions, year 5 (rounded)</t>
  </si>
  <si>
    <t>Base · LP distributions, year 6 (rounded)</t>
  </si>
  <si>
    <t>Base · LP distributions, year 7 (rounded)</t>
  </si>
  <si>
    <t>Base · LP distributions, year 8 (rounded)</t>
  </si>
  <si>
    <t>Base · carried interest, year 1 (rounded)</t>
  </si>
  <si>
    <t>Base · carried interest, year 2 (rounded)</t>
  </si>
  <si>
    <t>Base · carried interest, year 3 (rounded)</t>
  </si>
  <si>
    <t>Base · carried interest, year 4 (rounded)</t>
  </si>
  <si>
    <t>Base · carried interest, year 5 (rounded)</t>
  </si>
  <si>
    <t>Base · carried interest, year 6 (rounded)</t>
  </si>
  <si>
    <t>Base · carried interest, year 7 (rounded)</t>
  </si>
  <si>
    <t>Base · carried interest, year 8 (rounded)</t>
  </si>
  <si>
    <t>Stress · Gross exit value</t>
  </si>
  <si>
    <t>Stress · Realised (exit proceeds incl. secondary)</t>
  </si>
  <si>
    <t>Stress · Secondary discount</t>
  </si>
  <si>
    <t>Stress · Paid-in capital</t>
  </si>
  <si>
    <t>Stress · Management fees</t>
  </si>
  <si>
    <t>Stress · Fund expenses</t>
  </si>
  <si>
    <t>Stress · LP distributions</t>
  </si>
  <si>
    <t>Stress · Carried interest</t>
  </si>
  <si>
    <t>Stress · Net TVPI</t>
  </si>
  <si>
    <t>Stress · Net IRR</t>
  </si>
  <si>
    <t>Stress · Gross IRR</t>
  </si>
  <si>
    <t>Stress · Net DPI by year 6</t>
  </si>
  <si>
    <t>Stress · capital calls, year 1 (rounded)</t>
  </si>
  <si>
    <t>Stress · capital calls, year 2 (rounded)</t>
  </si>
  <si>
    <t>Stress · capital calls, year 3 (rounded)</t>
  </si>
  <si>
    <t>Stress · capital calls, year 4 (rounded)</t>
  </si>
  <si>
    <t>Stress · capital calls, year 5 (rounded)</t>
  </si>
  <si>
    <t>Stress · capital calls, year 6 (rounded)</t>
  </si>
  <si>
    <t>Stress · capital calls, year 7 (rounded)</t>
  </si>
  <si>
    <t>Stress · capital calls, year 8 (rounded)</t>
  </si>
  <si>
    <t>Stress · distributions, year 1 (rounded)</t>
  </si>
  <si>
    <t>Stress · distributions, year 2 (rounded)</t>
  </si>
  <si>
    <t>Stress · distributions, year 3 (rounded)</t>
  </si>
  <si>
    <t>Stress · distributions, year 4 (rounded)</t>
  </si>
  <si>
    <t>Stress · distributions, year 5 (rounded)</t>
  </si>
  <si>
    <t>Stress · distributions, year 6 (rounded)</t>
  </si>
  <si>
    <t>Stress · distributions, year 7 (rounded)</t>
  </si>
  <si>
    <t>Stress · distributions, year 8 (rounded)</t>
  </si>
  <si>
    <t>Stress · LP distributions, year 1 (rounded)</t>
  </si>
  <si>
    <t>Stress · LP distributions, year 2 (rounded)</t>
  </si>
  <si>
    <t>Stress · LP distributions, year 3 (rounded)</t>
  </si>
  <si>
    <t>Stress · LP distributions, year 4 (rounded)</t>
  </si>
  <si>
    <t>Stress · LP distributions, year 5 (rounded)</t>
  </si>
  <si>
    <t>Stress · LP distributions, year 6 (rounded)</t>
  </si>
  <si>
    <t>Stress · LP distributions, year 7 (rounded)</t>
  </si>
  <si>
    <t>Stress · LP distributions, year 8 (rounded)</t>
  </si>
  <si>
    <t>Stress · carried interest, year 1 (rounded)</t>
  </si>
  <si>
    <t>Stress · carried interest, year 2 (rounded)</t>
  </si>
  <si>
    <t>Stress · carried interest, year 3 (rounded)</t>
  </si>
  <si>
    <t>Stress · carried interest, year 4 (rounded)</t>
  </si>
  <si>
    <t>Stress · carried interest, year 5 (rounded)</t>
  </si>
  <si>
    <t>Stress · carried interest, year 6 (rounded)</t>
  </si>
  <si>
    <t>Stress · carried interest, year 7 (rounded)</t>
  </si>
  <si>
    <t>Stress · carried interest, year 8 (rounded)</t>
  </si>
  <si>
    <t>Seed · companies</t>
  </si>
  <si>
    <t>Seed · positions</t>
  </si>
  <si>
    <t>Seed · initial tickets</t>
  </si>
  <si>
    <t>Seed · follow-on</t>
  </si>
  <si>
    <t>Seed · invested</t>
  </si>
  <si>
    <t>Seed · proceeds Target</t>
  </si>
  <si>
    <t>Seed · gross MOIC Target</t>
  </si>
  <si>
    <t>Seed · proceeds Base</t>
  </si>
  <si>
    <t>Seed · gross MOIC Base</t>
  </si>
  <si>
    <t>Seed · proceeds Stress</t>
  </si>
  <si>
    <t>Seed · gross MOIC Stress</t>
  </si>
  <si>
    <t>Venture · companies</t>
  </si>
  <si>
    <t>Venture · positions</t>
  </si>
  <si>
    <t>Venture · initial tickets</t>
  </si>
  <si>
    <t>Venture · follow-on</t>
  </si>
  <si>
    <t>Venture · invested</t>
  </si>
  <si>
    <t>Venture · proceeds Target</t>
  </si>
  <si>
    <t>Venture · gross MOIC Target</t>
  </si>
  <si>
    <t>Venture · proceeds Base</t>
  </si>
  <si>
    <t>Venture · gross MOIC Base</t>
  </si>
  <si>
    <t>Venture · proceeds Stress</t>
  </si>
  <si>
    <t>Venture · gross MOIC Stress</t>
  </si>
  <si>
    <t>Growth · companies</t>
  </si>
  <si>
    <t>Growth · positions</t>
  </si>
  <si>
    <t>Growth · initial tickets</t>
  </si>
  <si>
    <t>Growth · follow-on</t>
  </si>
  <si>
    <t>Growth · invested</t>
  </si>
  <si>
    <t>Growth · proceeds Target</t>
  </si>
  <si>
    <t>Growth · gross MOIC Target</t>
  </si>
  <si>
    <t>Growth · proceeds Base</t>
  </si>
  <si>
    <t>Growth · gross MOIC Base</t>
  </si>
  <si>
    <t>Growth · proceeds Stress</t>
  </si>
  <si>
    <t>Growth · gross MOIC Stress</t>
  </si>
  <si>
    <t>Growth · in our breakouts</t>
  </si>
  <si>
    <t>Growth · direct entries</t>
  </si>
  <si>
    <t>Allocation · seed</t>
  </si>
  <si>
    <t>Allocation · venture</t>
  </si>
  <si>
    <t>Allocation · growth</t>
  </si>
  <si>
    <t>Allocation · invested</t>
  </si>
  <si>
    <t>Allocation · initial</t>
  </si>
  <si>
    <t>Allocation · follow on</t>
  </si>
  <si>
    <t>Allocation · follow on pct</t>
  </si>
  <si>
    <t>Allocation · mgmt fees</t>
  </si>
  <si>
    <t>Allocation · fund expenses</t>
  </si>
  <si>
    <t>Allocation · contingency</t>
  </si>
  <si>
    <t>Allocation · total</t>
  </si>
  <si>
    <t>S-01 · entry pct</t>
  </si>
  <si>
    <t>S-01 · proceeds</t>
  </si>
  <si>
    <t>S-01 · moic</t>
  </si>
  <si>
    <t>S-02 · entry pct</t>
  </si>
  <si>
    <t>S-02 · proceeds</t>
  </si>
  <si>
    <t>S-02 · moic</t>
  </si>
  <si>
    <t>S-03 · entry pct</t>
  </si>
  <si>
    <t>S-03 · proceeds</t>
  </si>
  <si>
    <t>S-03 · moic</t>
  </si>
  <si>
    <t>S-04 · entry pct</t>
  </si>
  <si>
    <t>S-04 · proceeds</t>
  </si>
  <si>
    <t>S-04 · moic</t>
  </si>
  <si>
    <t>S-05 · entry pct</t>
  </si>
  <si>
    <t>S-05 · proceeds</t>
  </si>
  <si>
    <t>S-05 · moic</t>
  </si>
  <si>
    <t>S-06 · entry pct</t>
  </si>
  <si>
    <t>S-06 · proceeds</t>
  </si>
  <si>
    <t>S-06 · moic</t>
  </si>
  <si>
    <t>S-07–09 · entry pct</t>
  </si>
  <si>
    <t>S-07–09 · proceeds</t>
  </si>
  <si>
    <t>S-07–09 · moic</t>
  </si>
  <si>
    <t>S-10–18 · entry pct</t>
  </si>
  <si>
    <t>S-10–18 · proceeds</t>
  </si>
  <si>
    <t>S-10–18 · moic</t>
  </si>
  <si>
    <t>V-01 · entry pct</t>
  </si>
  <si>
    <t>V-01 · proceeds</t>
  </si>
  <si>
    <t>V-01 · moic</t>
  </si>
  <si>
    <t>V-02 · entry pct</t>
  </si>
  <si>
    <t>V-02 · proceeds</t>
  </si>
  <si>
    <t>V-02 · moic</t>
  </si>
  <si>
    <t>V-03 · entry pct</t>
  </si>
  <si>
    <t>V-03 · proceeds</t>
  </si>
  <si>
    <t>V-03 · moic</t>
  </si>
  <si>
    <t>V-04 · entry pct</t>
  </si>
  <si>
    <t>V-04 · proceeds</t>
  </si>
  <si>
    <t>V-04 · moic</t>
  </si>
  <si>
    <t>V-05/06 · entry pct</t>
  </si>
  <si>
    <t>V-05/06 · proceeds</t>
  </si>
  <si>
    <t>V-05/06 · moic</t>
  </si>
  <si>
    <t>V-07/08 · entry pct</t>
  </si>
  <si>
    <t>V-07/08 · proceeds</t>
  </si>
  <si>
    <t>V-07/08 · moic</t>
  </si>
  <si>
    <t>G-01 · entry pct</t>
  </si>
  <si>
    <t>G-01 · proceeds</t>
  </si>
  <si>
    <t>G-01 · moic</t>
  </si>
  <si>
    <t>G-02 · entry pct</t>
  </si>
  <si>
    <t>G-02 · proceeds</t>
  </si>
  <si>
    <t>G-02 · moic</t>
  </si>
  <si>
    <t>G-03 · entry pct</t>
  </si>
  <si>
    <t>G-03 · proceeds</t>
  </si>
  <si>
    <t>G-03 · moic</t>
  </si>
  <si>
    <t>G-07 · entry pct</t>
  </si>
  <si>
    <t>G-07 · proceeds</t>
  </si>
  <si>
    <t>G-07 · moic</t>
  </si>
  <si>
    <t>G-08 · entry pct</t>
  </si>
  <si>
    <t>G-08 · proceeds</t>
  </si>
  <si>
    <t>G-08 · moic</t>
  </si>
  <si>
    <t>G-09 · entry pct</t>
  </si>
  <si>
    <t>G-09 · proceeds</t>
  </si>
  <si>
    <t>G-09 · moic</t>
  </si>
  <si>
    <t>Seed · expected follow-on (reserve policy)</t>
  </si>
  <si>
    <t>Venture · expected follow-on (reserve policy)</t>
  </si>
  <si>
    <t>S-01 · invested by the fund</t>
  </si>
  <si>
    <t>S-01 · SPV top-up</t>
  </si>
  <si>
    <t>V-01 · invested by the fund</t>
  </si>
  <si>
    <t>V-01 · SPV top-up</t>
  </si>
  <si>
    <t>G-07 · invested by the fund</t>
  </si>
  <si>
    <t>G-07 · SPV top-up</t>
  </si>
  <si>
    <t>SPV top-ups, total</t>
  </si>
  <si>
    <t>Fund returner · proceeds</t>
  </si>
  <si>
    <t>Fund returner · multiple of the fund</t>
  </si>
  <si>
    <t>Fund returner · company</t>
  </si>
  <si>
    <t>Model rules</t>
  </si>
  <si>
    <t>Contingency is not negative</t>
  </si>
  <si>
    <t>Target · paid-in within commitments</t>
  </si>
  <si>
    <t>Target · no GP clawback</t>
  </si>
  <si>
    <t>Base · paid-in within commitments</t>
  </si>
  <si>
    <t>Base · no GP clawback</t>
  </si>
  <si>
    <t>Stress · paid-in within commitments</t>
  </si>
  <si>
    <t>Stress · no GP clawback</t>
  </si>
  <si>
    <t>Every company within the cap from the fund</t>
  </si>
  <si>
    <t>Growth · direct entries at least the minimum</t>
  </si>
  <si>
    <t>Seed · follow-on within 5% of the reserve policy</t>
  </si>
  <si>
    <t>Venture · follow-on within 5% of the reserve policy</t>
  </si>
</sst>
</file>

<file path=xl/styles.xml><?xml version="1.0" encoding="utf-8"?>
<styleSheet xmlns="http://schemas.openxmlformats.org/spreadsheetml/2006/main">
  <numFmts count="11">
    <numFmt numFmtId="164" formatCode="&quot;€&quot;#,##0;-&quot;€&quot;#,##0;&quot;–&quot;"/>
    <numFmt numFmtId="165" formatCode="#,##0"/>
    <numFmt numFmtId="166" formatCode="0%"/>
    <numFmt numFmtId="167" formatCode="0.0%"/>
    <numFmt numFmtId="168" formatCode="0.00%"/>
    <numFmt numFmtId="169" formatCode="@"/>
    <numFmt numFmtId="170" formatCode="0.0&quot;×&quot;"/>
    <numFmt numFmtId="171" formatCode="&quot;Year &quot;0"/>
    <numFmt numFmtId="172" formatCode="-&quot;€&quot;#,##0;&quot;€&quot;#,##0;&quot;–&quot;"/>
    <numFmt numFmtId="173" formatCode="0&quot; checks OK&quot;"/>
    <numFmt numFmtId="174" formatCode="0.00"/>
  </numFmts>
  <fonts count="15">
    <font>
      <sz val="11"/>
      <color theme="1"/>
      <name val="Calibri"/>
      <family val="2"/>
      <scheme val="minor"/>
    </font>
    <font>
      <b/>
      <sz val="18"/>
      <color rgb="FF15181D"/>
      <name val="Arial"/>
      <family val="2"/>
    </font>
    <font>
      <sz val="10"/>
      <color rgb="FF646B77"/>
      <name val="Arial"/>
      <family val="2"/>
    </font>
    <font>
      <b/>
      <sz val="10"/>
      <color rgb="FF4A6080"/>
      <name val="Arial"/>
      <family val="2"/>
    </font>
    <font>
      <sz val="10.5"/>
      <color rgb="FF15181D"/>
      <name val="Arial"/>
      <family val="2"/>
    </font>
    <font>
      <b/>
      <sz val="10"/>
      <color rgb="FF15181D"/>
      <name val="Arial"/>
      <family val="2"/>
    </font>
    <font>
      <b/>
      <sz val="10"/>
      <color rgb="FF1F8A4C"/>
      <name val="Arial"/>
      <family val="2"/>
    </font>
    <font>
      <b/>
      <sz val="10"/>
      <color rgb="FFFFFFFF"/>
      <name val="Arial"/>
      <family val="2"/>
    </font>
    <font>
      <sz val="10"/>
      <color rgb="FF15181D"/>
      <name val="Arial"/>
      <family val="2"/>
    </font>
    <font>
      <b/>
      <sz val="10"/>
      <color rgb="FF1D4ED8"/>
      <name val="Arial"/>
      <family val="2"/>
    </font>
    <font>
      <b/>
      <sz val="16"/>
      <color rgb="FF15181D"/>
      <name val="Arial"/>
      <family val="2"/>
    </font>
    <font>
      <i/>
      <sz val="10"/>
      <color rgb="FF646B77"/>
      <name val="Arial"/>
      <family val="2"/>
    </font>
    <font>
      <sz val="10"/>
      <color rgb="FF1D4ED8"/>
      <name val="Arial"/>
      <family val="2"/>
    </font>
    <font>
      <sz val="10"/>
      <color rgb="FF15181D"/>
      <name val="Arial"/>
      <family val="2"/>
    </font>
    <font>
      <b/>
      <sz val="13"/>
      <color rgb="FF1518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627C99"/>
        <bgColor indexed="64"/>
      </patternFill>
    </fill>
    <fill>
      <patternFill patternType="solid">
        <fgColor rgb="FF4A6080"/>
        <bgColor indexed="64"/>
      </patternFill>
    </fill>
    <fill>
      <patternFill patternType="solid">
        <fgColor rgb="FF646B7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ck">
        <color rgb="FF627C99"/>
      </left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/>
      <right/>
      <top style="medium">
        <color rgb="FF15181D"/>
      </top>
      <bottom/>
      <diagonal/>
    </border>
    <border>
      <left/>
      <right/>
      <top style="thin">
        <color rgb="FF15181D"/>
      </top>
      <bottom/>
      <diagonal/>
    </border>
    <border>
      <left/>
      <right/>
      <top/>
      <bottom style="thin">
        <color rgb="FFD9DDE3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170" fontId="12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70" fontId="8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70" fontId="5" fillId="2" borderId="0" xfId="0" applyNumberFormat="1" applyFont="1" applyFill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170" fontId="5" fillId="0" borderId="3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9" fontId="5" fillId="0" borderId="4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166" fontId="5" fillId="0" borderId="4" xfId="0" applyNumberFormat="1" applyFont="1" applyBorder="1" applyAlignment="1">
      <alignment vertical="center"/>
    </xf>
    <xf numFmtId="170" fontId="5" fillId="0" borderId="4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70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0" borderId="5" xfId="0" applyFont="1" applyBorder="1" applyAlignment="1">
      <alignment vertical="center"/>
    </xf>
    <xf numFmtId="164" fontId="5" fillId="2" borderId="5" xfId="0" applyNumberFormat="1" applyFont="1" applyFill="1" applyBorder="1" applyAlignment="1">
      <alignment vertical="center"/>
    </xf>
    <xf numFmtId="164" fontId="13" fillId="6" borderId="5" xfId="0" applyNumberFormat="1" applyFont="1" applyFill="1" applyBorder="1" applyAlignment="1">
      <alignment vertical="center"/>
    </xf>
    <xf numFmtId="172" fontId="5" fillId="2" borderId="5" xfId="0" applyNumberFormat="1" applyFont="1" applyFill="1" applyBorder="1" applyAlignment="1">
      <alignment vertical="center"/>
    </xf>
    <xf numFmtId="172" fontId="13" fillId="6" borderId="5" xfId="0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vertical="center"/>
    </xf>
    <xf numFmtId="170" fontId="13" fillId="6" borderId="5" xfId="0" applyNumberFormat="1" applyFont="1" applyFill="1" applyBorder="1" applyAlignment="1">
      <alignment vertical="center"/>
    </xf>
    <xf numFmtId="166" fontId="5" fillId="2" borderId="5" xfId="0" applyNumberFormat="1" applyFont="1" applyFill="1" applyBorder="1" applyAlignment="1">
      <alignment vertical="center"/>
    </xf>
    <xf numFmtId="166" fontId="13" fillId="6" borderId="5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14" fillId="0" borderId="0" xfId="0" applyFont="1" applyAlignment="1">
      <alignment vertical="center"/>
    </xf>
    <xf numFmtId="173" fontId="8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color rgb="FF1F8A4C"/>
      </font>
      <fill>
        <patternFill>
          <bgColor rgb="FFE5F3EA"/>
        </patternFill>
      </fill>
    </dxf>
    <dxf>
      <font>
        <color rgb="FFC0392B"/>
      </font>
      <fill>
        <patternFill>
          <bgColor rgb="FFFBE3D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A6080"/>
    <pageSetUpPr fitToPage="1"/>
  </sheetPr>
  <dimension ref="A1:B23"/>
  <sheetViews>
    <sheetView showGridLines="0" tabSelected="1" workbookViewId="0"/>
  </sheetViews>
  <sheetFormatPr defaultRowHeight="15"/>
  <cols>
    <col min="1" max="1" width="24.7109375" customWidth="1"/>
    <col min="2" max="2" width="100.7109375" customWidth="1"/>
  </cols>
  <sheetData>
    <row r="1" spans="1:2" ht="33.75" customHeight="1">
      <c r="A1" s="1" t="s">
        <v>0</v>
      </c>
    </row>
    <row r="2" spans="1:2">
      <c r="A2" s="2" t="s">
        <v>1</v>
      </c>
    </row>
    <row r="4" spans="1:2" ht="44.25" customHeight="1">
      <c r="A4" s="3" t="s">
        <v>2</v>
      </c>
      <c r="B4" s="4" t="s">
        <v>3</v>
      </c>
    </row>
    <row r="5" spans="1:2" ht="30" customHeight="1">
      <c r="B5" s="5" t="s">
        <v>4</v>
      </c>
    </row>
    <row r="6" spans="1:2">
      <c r="B6" s="2" t="s">
        <v>5</v>
      </c>
    </row>
    <row r="8" spans="1:2">
      <c r="A8" s="6" t="s">
        <v>6</v>
      </c>
      <c r="B8" s="7" t="str">
        <f>ChecksStatus</f>
        <v>ALL CHECKS PASS</v>
      </c>
    </row>
    <row r="10" spans="1:2" ht="20.25" customHeight="1">
      <c r="A10" s="8" t="s">
        <v>7</v>
      </c>
      <c r="B10" s="9"/>
    </row>
    <row r="11" spans="1:2">
      <c r="A11" s="6" t="s">
        <v>8</v>
      </c>
      <c r="B11" s="10" t="s">
        <v>9</v>
      </c>
    </row>
    <row r="12" spans="1:2">
      <c r="A12" s="6" t="s">
        <v>10</v>
      </c>
      <c r="B12" s="10" t="s">
        <v>11</v>
      </c>
    </row>
    <row r="13" spans="1:2">
      <c r="A13" s="6" t="s">
        <v>12</v>
      </c>
      <c r="B13" s="10" t="s">
        <v>13</v>
      </c>
    </row>
    <row r="14" spans="1:2">
      <c r="A14" s="6" t="s">
        <v>14</v>
      </c>
      <c r="B14" s="10" t="s">
        <v>15</v>
      </c>
    </row>
    <row r="15" spans="1:2">
      <c r="A15" s="6" t="s">
        <v>16</v>
      </c>
      <c r="B15" s="10" t="s">
        <v>17</v>
      </c>
    </row>
    <row r="16" spans="1:2">
      <c r="A16" s="6" t="s">
        <v>18</v>
      </c>
      <c r="B16" s="10" t="s">
        <v>19</v>
      </c>
    </row>
    <row r="18" spans="1:2" ht="20.25" customHeight="1">
      <c r="A18" s="8" t="s">
        <v>20</v>
      </c>
      <c r="B18" s="9"/>
    </row>
    <row r="19" spans="1:2">
      <c r="A19" s="11" t="s">
        <v>21</v>
      </c>
      <c r="B19" s="10" t="s">
        <v>22</v>
      </c>
    </row>
    <row r="20" spans="1:2">
      <c r="A20" s="6" t="s">
        <v>23</v>
      </c>
      <c r="B20" s="10" t="s">
        <v>24</v>
      </c>
    </row>
    <row r="21" spans="1:2">
      <c r="A21" s="7" t="s">
        <v>25</v>
      </c>
      <c r="B21" s="10" t="s">
        <v>26</v>
      </c>
    </row>
    <row r="22" spans="1:2">
      <c r="A22" s="6" t="s">
        <v>27</v>
      </c>
      <c r="B22" s="10" t="s">
        <v>28</v>
      </c>
    </row>
    <row r="23" spans="1:2">
      <c r="A23" s="6" t="s">
        <v>29</v>
      </c>
      <c r="B23" s="10" t="s">
        <v>30</v>
      </c>
    </row>
  </sheetData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F5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8.7109375" customWidth="1"/>
    <col min="2" max="5" width="16.7109375" customWidth="1"/>
    <col min="6" max="6" width="60.7109375" customWidth="1"/>
  </cols>
  <sheetData>
    <row r="1" spans="1:6" ht="30" customHeight="1">
      <c r="A1" s="12" t="s">
        <v>8</v>
      </c>
    </row>
    <row r="2" spans="1:6">
      <c r="A2" s="13" t="s">
        <v>31</v>
      </c>
    </row>
    <row r="4" spans="1:6" ht="20.25" customHeight="1">
      <c r="A4" s="8" t="s">
        <v>32</v>
      </c>
      <c r="B4" s="9"/>
      <c r="C4" s="9"/>
      <c r="D4" s="9"/>
      <c r="E4" s="9"/>
      <c r="F4" s="9"/>
    </row>
    <row r="5" spans="1:6">
      <c r="A5" t="s">
        <v>33</v>
      </c>
      <c r="B5" s="14">
        <v>100000000</v>
      </c>
    </row>
    <row r="6" spans="1:6">
      <c r="A6" t="s">
        <v>34</v>
      </c>
      <c r="B6" s="15">
        <v>10</v>
      </c>
    </row>
    <row r="7" spans="1:6">
      <c r="A7" t="s">
        <v>35</v>
      </c>
      <c r="B7" s="15">
        <v>5</v>
      </c>
      <c r="F7" s="13" t="s">
        <v>36</v>
      </c>
    </row>
    <row r="8" spans="1:6">
      <c r="A8" t="s">
        <v>37</v>
      </c>
      <c r="B8" s="15">
        <v>24</v>
      </c>
      <c r="F8" s="13" t="s">
        <v>38</v>
      </c>
    </row>
    <row r="9" spans="1:6">
      <c r="A9" t="s">
        <v>39</v>
      </c>
      <c r="B9" s="16">
        <v>0.1</v>
      </c>
    </row>
    <row r="10" spans="1:6">
      <c r="A10" t="s">
        <v>40</v>
      </c>
      <c r="B10" s="17">
        <f>ROUND((CompanyCapPct*Commitments)/IF(ABS(CompanyCapPct*Commitments)&lt;1000000,10000,100000),0)*IF(ABS(CompanyCapPct*Commitments)&lt;1000000,10000,100000)</f>
        <v>10000000</v>
      </c>
    </row>
    <row r="11" spans="1:6">
      <c r="A11" t="s">
        <v>41</v>
      </c>
      <c r="B11" s="14">
        <v>15000000</v>
      </c>
      <c r="F11" s="13" t="s">
        <v>42</v>
      </c>
    </row>
    <row r="12" spans="1:6">
      <c r="A12" t="s">
        <v>43</v>
      </c>
      <c r="B12" s="16">
        <v>0.85</v>
      </c>
      <c r="F12" s="13" t="s">
        <v>44</v>
      </c>
    </row>
    <row r="13" spans="1:6">
      <c r="A13" t="s">
        <v>45</v>
      </c>
      <c r="B13" s="16">
        <v>0.7</v>
      </c>
      <c r="F13" s="13" t="s">
        <v>44</v>
      </c>
    </row>
    <row r="15" spans="1:6" ht="20.25" customHeight="1">
      <c r="A15" s="8" t="s">
        <v>46</v>
      </c>
      <c r="B15" s="9"/>
      <c r="C15" s="9"/>
      <c r="D15" s="9"/>
      <c r="E15" s="9"/>
      <c r="F15" s="9"/>
    </row>
    <row r="16" spans="1:6">
      <c r="A16" t="s">
        <v>47</v>
      </c>
      <c r="B16" s="18">
        <v>0.02</v>
      </c>
    </row>
    <row r="17" spans="1:6">
      <c r="A17" t="s">
        <v>48</v>
      </c>
      <c r="B17" s="18">
        <v>0.015</v>
      </c>
    </row>
    <row r="18" spans="1:6">
      <c r="A18" t="s">
        <v>49</v>
      </c>
      <c r="B18" s="19">
        <v>0.0175</v>
      </c>
      <c r="F18" s="13" t="s">
        <v>50</v>
      </c>
    </row>
    <row r="19" spans="1:6">
      <c r="A19" t="s">
        <v>51</v>
      </c>
      <c r="B19" s="14">
        <v>400000</v>
      </c>
      <c r="F19" s="13" t="s">
        <v>5</v>
      </c>
    </row>
    <row r="20" spans="1:6">
      <c r="A20" t="s">
        <v>52</v>
      </c>
      <c r="B20" s="14">
        <v>350000</v>
      </c>
      <c r="F20" s="13" t="s">
        <v>5</v>
      </c>
    </row>
    <row r="21" spans="1:6">
      <c r="A21" t="s">
        <v>53</v>
      </c>
      <c r="B21" s="16">
        <v>0.2</v>
      </c>
    </row>
    <row r="22" spans="1:6">
      <c r="A22" t="s">
        <v>54</v>
      </c>
      <c r="B22" s="16">
        <v>0.08</v>
      </c>
      <c r="F22" s="13" t="s">
        <v>55</v>
      </c>
    </row>
    <row r="23" spans="1:6">
      <c r="A23" t="s">
        <v>56</v>
      </c>
      <c r="B23" s="16">
        <v>1</v>
      </c>
    </row>
    <row r="24" spans="1:6">
      <c r="A24" t="s">
        <v>57</v>
      </c>
      <c r="B24" s="16">
        <v>0.01</v>
      </c>
      <c r="F24" s="13" t="s">
        <v>44</v>
      </c>
    </row>
    <row r="25" spans="1:6">
      <c r="A25" t="s">
        <v>58</v>
      </c>
      <c r="B25" s="17">
        <f>ROUND((GPCommitPct*Commitments)/IF(ABS(GPCommitPct*Commitments)&lt;1000000,10000,100000),0)*IF(ABS(GPCommitPct*Commitments)&lt;1000000,10000,100000)</f>
        <v>1000000</v>
      </c>
    </row>
    <row r="27" spans="1:6" ht="20.25" customHeight="1">
      <c r="A27" s="8" t="s">
        <v>59</v>
      </c>
      <c r="B27" s="9"/>
      <c r="C27" s="9"/>
      <c r="D27" s="9"/>
      <c r="E27" s="9"/>
      <c r="F27" s="9"/>
    </row>
    <row r="28" spans="1:6">
      <c r="A28" t="s">
        <v>60</v>
      </c>
      <c r="B28" s="16">
        <v>0.25</v>
      </c>
    </row>
    <row r="29" spans="1:6">
      <c r="A29" t="s">
        <v>61</v>
      </c>
      <c r="B29" s="15">
        <v>6</v>
      </c>
      <c r="F29" s="13" t="s">
        <v>62</v>
      </c>
    </row>
    <row r="30" spans="1:6">
      <c r="A30" t="s">
        <v>63</v>
      </c>
      <c r="B30" s="16">
        <v>0.6</v>
      </c>
    </row>
    <row r="31" spans="1:6">
      <c r="A31" t="s">
        <v>64</v>
      </c>
      <c r="B31" s="20" t="s">
        <v>65</v>
      </c>
    </row>
    <row r="32" spans="1:6">
      <c r="A32" t="s">
        <v>66</v>
      </c>
      <c r="B32" s="20" t="s">
        <v>67</v>
      </c>
    </row>
    <row r="34" spans="1:6" ht="20.25" customHeight="1">
      <c r="A34" s="8" t="s">
        <v>68</v>
      </c>
      <c r="B34" s="9"/>
      <c r="C34" s="9"/>
      <c r="D34" s="9"/>
      <c r="E34" s="9"/>
      <c r="F34" s="9"/>
    </row>
    <row r="35" spans="1:6">
      <c r="A35" t="s">
        <v>69</v>
      </c>
      <c r="B35" s="20" t="s">
        <v>70</v>
      </c>
      <c r="F35" s="13" t="s">
        <v>71</v>
      </c>
    </row>
    <row r="36" spans="1:6">
      <c r="A36" t="s">
        <v>72</v>
      </c>
      <c r="B36" s="14">
        <v>500000000</v>
      </c>
    </row>
    <row r="37" spans="1:6">
      <c r="A37" t="s">
        <v>73</v>
      </c>
      <c r="B37" s="14">
        <v>250000000</v>
      </c>
    </row>
    <row r="39" spans="1:6" ht="20.25" customHeight="1">
      <c r="A39" s="8" t="s">
        <v>74</v>
      </c>
      <c r="B39" s="9"/>
      <c r="C39" s="9"/>
      <c r="D39" s="9"/>
      <c r="E39" s="9"/>
      <c r="F39" s="9"/>
    </row>
    <row r="40" spans="1:6">
      <c r="A40" s="6"/>
      <c r="B40" s="21" t="s">
        <v>75</v>
      </c>
      <c r="C40" s="21" t="s">
        <v>76</v>
      </c>
      <c r="D40" s="21" t="s">
        <v>77</v>
      </c>
    </row>
    <row r="41" spans="1:6">
      <c r="A41" t="s">
        <v>78</v>
      </c>
      <c r="B41" s="14">
        <v>100000</v>
      </c>
      <c r="C41" s="14">
        <v>1500000</v>
      </c>
      <c r="D41" s="14">
        <v>5000000</v>
      </c>
    </row>
    <row r="42" spans="1:6">
      <c r="A42" t="s">
        <v>79</v>
      </c>
      <c r="B42" s="14">
        <v>1500000</v>
      </c>
      <c r="C42" s="14">
        <v>5000000</v>
      </c>
      <c r="D42" s="14">
        <v>10000000</v>
      </c>
    </row>
    <row r="43" spans="1:6">
      <c r="A43" t="s">
        <v>80</v>
      </c>
      <c r="B43" s="14">
        <v>5000000</v>
      </c>
      <c r="C43" s="14">
        <v>25000000</v>
      </c>
      <c r="D43" s="14">
        <v>80000000</v>
      </c>
    </row>
    <row r="44" spans="1:6">
      <c r="A44" t="s">
        <v>81</v>
      </c>
      <c r="B44" s="14">
        <v>20000000</v>
      </c>
      <c r="C44" s="14">
        <v>80000000</v>
      </c>
      <c r="D44" s="14">
        <v>400000000</v>
      </c>
    </row>
    <row r="45" spans="1:6">
      <c r="A45" t="s">
        <v>82</v>
      </c>
      <c r="B45" s="18">
        <v>0.05</v>
      </c>
      <c r="C45" s="18">
        <v>0.05</v>
      </c>
      <c r="D45" s="18">
        <v>0.02</v>
      </c>
    </row>
    <row r="46" spans="1:6">
      <c r="A46" t="s">
        <v>83</v>
      </c>
      <c r="B46" s="18">
        <v>0.125</v>
      </c>
      <c r="C46" s="18">
        <v>0.08</v>
      </c>
      <c r="D46" s="18">
        <v>0.05</v>
      </c>
    </row>
    <row r="47" spans="1:6">
      <c r="A47" t="s">
        <v>84</v>
      </c>
      <c r="B47" s="15">
        <v>18</v>
      </c>
      <c r="C47" s="15">
        <v>8</v>
      </c>
      <c r="D47" s="15">
        <v>3</v>
      </c>
    </row>
    <row r="48" spans="1:6">
      <c r="A48" t="s">
        <v>85</v>
      </c>
      <c r="D48" s="16">
        <v>0.4</v>
      </c>
    </row>
    <row r="50" spans="1:6" ht="20.25" customHeight="1">
      <c r="A50" s="8" t="s">
        <v>86</v>
      </c>
      <c r="B50" s="9"/>
      <c r="C50" s="9"/>
      <c r="D50" s="9"/>
      <c r="E50" s="9"/>
      <c r="F50" s="9"/>
    </row>
    <row r="51" spans="1:6">
      <c r="A51" s="6"/>
      <c r="B51" s="21" t="s">
        <v>75</v>
      </c>
      <c r="C51" s="21" t="s">
        <v>76</v>
      </c>
    </row>
    <row r="52" spans="1:6">
      <c r="A52" t="s">
        <v>87</v>
      </c>
      <c r="B52" s="16">
        <v>0.4</v>
      </c>
      <c r="C52" s="16">
        <v>0.5</v>
      </c>
    </row>
    <row r="53" spans="1:6">
      <c r="A53" t="s">
        <v>88</v>
      </c>
      <c r="B53" s="14">
        <v>15000000</v>
      </c>
      <c r="C53" s="14">
        <v>40000000</v>
      </c>
    </row>
    <row r="54" spans="1:6">
      <c r="A54" t="s">
        <v>89</v>
      </c>
      <c r="B54" s="18">
        <v>0.06</v>
      </c>
      <c r="C54" s="18">
        <v>0.065</v>
      </c>
    </row>
    <row r="55" spans="1:6">
      <c r="A55" t="s">
        <v>90</v>
      </c>
      <c r="B55" s="14">
        <v>1000000</v>
      </c>
      <c r="C55" s="14">
        <v>0</v>
      </c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AJ3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outlineLevelCol="1"/>
  <cols>
    <col min="1" max="1" width="10.7109375" customWidth="1"/>
    <col min="2" max="4" width="11.7109375" customWidth="1"/>
    <col min="5" max="5" width="22.7109375" customWidth="1"/>
    <col min="6" max="6" width="10.7109375" customWidth="1"/>
    <col min="7" max="9" width="15.7109375" customWidth="1"/>
    <col min="10" max="12" width="10.7109375" customWidth="1"/>
    <col min="13" max="13" width="11.7109375" customWidth="1"/>
    <col min="14" max="14" width="15.7109375" customWidth="1"/>
    <col min="15" max="15" width="12.7109375" customWidth="1"/>
    <col min="16" max="24" width="14.7109375" customWidth="1"/>
    <col min="25" max="36" width="15.7109375" customWidth="1" outlineLevel="1"/>
  </cols>
  <sheetData>
    <row r="1" spans="1:36" ht="30" customHeight="1">
      <c r="A1" s="12" t="s">
        <v>91</v>
      </c>
    </row>
    <row r="2" spans="1:36">
      <c r="A2" s="13" t="s">
        <v>92</v>
      </c>
    </row>
    <row r="4" spans="1:36" ht="20.25" customHeight="1">
      <c r="A4" s="22" t="s">
        <v>93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8" t="s">
        <v>94</v>
      </c>
      <c r="Q4" s="9"/>
      <c r="R4" s="9"/>
      <c r="S4" s="9"/>
      <c r="T4" s="9"/>
      <c r="U4" s="9"/>
      <c r="V4" s="9"/>
      <c r="W4" s="9"/>
      <c r="X4" s="9"/>
      <c r="Y4" s="24" t="s">
        <v>95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42" customHeight="1">
      <c r="A5" s="26" t="s">
        <v>96</v>
      </c>
      <c r="B5" s="26" t="s">
        <v>97</v>
      </c>
      <c r="C5" s="26" t="s">
        <v>98</v>
      </c>
      <c r="D5" s="26" t="s">
        <v>99</v>
      </c>
      <c r="E5" s="26" t="s">
        <v>100</v>
      </c>
      <c r="F5" s="26" t="s">
        <v>101</v>
      </c>
      <c r="G5" s="26" t="s">
        <v>102</v>
      </c>
      <c r="H5" s="26" t="s">
        <v>103</v>
      </c>
      <c r="I5" s="26" t="s">
        <v>104</v>
      </c>
      <c r="J5" s="26" t="s">
        <v>105</v>
      </c>
      <c r="K5" s="26" t="s">
        <v>106</v>
      </c>
      <c r="L5" s="26" t="s">
        <v>107</v>
      </c>
      <c r="M5" s="26" t="s">
        <v>108</v>
      </c>
      <c r="N5" s="26" t="s">
        <v>109</v>
      </c>
      <c r="O5" s="26" t="s">
        <v>110</v>
      </c>
      <c r="P5" s="26" t="s">
        <v>111</v>
      </c>
      <c r="Q5" s="26" t="s">
        <v>112</v>
      </c>
      <c r="R5" s="26" t="s">
        <v>113</v>
      </c>
      <c r="S5" s="26" t="s">
        <v>114</v>
      </c>
      <c r="T5" s="26" t="s">
        <v>115</v>
      </c>
      <c r="U5" s="26" t="s">
        <v>116</v>
      </c>
      <c r="V5" s="26" t="s">
        <v>117</v>
      </c>
      <c r="W5" s="26" t="s">
        <v>118</v>
      </c>
      <c r="X5" s="26" t="s">
        <v>119</v>
      </c>
      <c r="Y5" s="26" t="s">
        <v>120</v>
      </c>
      <c r="Z5" s="26" t="s">
        <v>121</v>
      </c>
      <c r="AA5" s="26" t="s">
        <v>122</v>
      </c>
      <c r="AB5" s="26" t="s">
        <v>123</v>
      </c>
      <c r="AC5" s="26" t="s">
        <v>124</v>
      </c>
      <c r="AD5" s="26" t="s">
        <v>125</v>
      </c>
      <c r="AE5" s="26" t="s">
        <v>126</v>
      </c>
      <c r="AF5" s="26" t="s">
        <v>127</v>
      </c>
      <c r="AG5" s="26" t="s">
        <v>128</v>
      </c>
      <c r="AH5" s="26" t="s">
        <v>129</v>
      </c>
      <c r="AI5" s="26" t="s">
        <v>130</v>
      </c>
      <c r="AJ5" s="26" t="s">
        <v>131</v>
      </c>
    </row>
    <row r="6" spans="1:36">
      <c r="A6" s="11" t="s">
        <v>65</v>
      </c>
      <c r="B6" s="27" t="s">
        <v>75</v>
      </c>
      <c r="C6" s="27" t="s">
        <v>65</v>
      </c>
      <c r="D6" s="28">
        <v>1</v>
      </c>
      <c r="E6" s="27" t="s">
        <v>132</v>
      </c>
      <c r="F6" s="27" t="s">
        <v>133</v>
      </c>
      <c r="G6" s="29">
        <v>1000000</v>
      </c>
      <c r="H6" s="29">
        <v>8000000</v>
      </c>
      <c r="I6" s="29">
        <v>2000000</v>
      </c>
      <c r="J6" s="30">
        <v>1</v>
      </c>
      <c r="K6" s="30">
        <v>2</v>
      </c>
      <c r="L6" s="30">
        <v>8</v>
      </c>
      <c r="M6" s="31">
        <v>0.045</v>
      </c>
      <c r="N6" s="29">
        <v>1500000000</v>
      </c>
      <c r="O6" s="32"/>
      <c r="P6" s="33">
        <f>G6+I6</f>
        <v>3000000</v>
      </c>
      <c r="Q6" s="33">
        <f>P6/D6</f>
        <v>3000000.0</v>
      </c>
      <c r="R6" s="34">
        <f>ROUND(G6/D6/H6,3)</f>
        <v>0.125</v>
      </c>
      <c r="S6" s="33">
        <f>IF(ISNUMBER($O6),ROUND(($O6*$P6)/IF(ABS($O6*$P6)&lt;1000000,10000,100000),0)*IF(ABS($O6*$P6)&lt;1000000,10000,100000),ROUND(($M6*IF(ISNUMBER(CapTarget),MIN($N6,CapTarget),$N6))/IF(ABS($M6*IF(ISNUMBER(CapTarget),MIN($N6,CapTarget),$N6))&lt;1000000,10000,100000),0)*IF(ABS($M6*IF(ISNUMBER(CapTarget),MIN($N6,CapTarget),$N6))&lt;1000000,10000,100000))</f>
        <v>67500000</v>
      </c>
      <c r="T6" s="33">
        <f>IF(ISNUMBER($O6),ROUND(($O6*$P6)/IF(ABS($O6*$P6)&lt;1000000,10000,100000),0)*IF(ABS($O6*$P6)&lt;1000000,10000,100000),ROUND(($M6*IF(ISNUMBER(CapBase),MIN($N6,CapBase),$N6))/IF(ABS($M6*IF(ISNUMBER(CapBase),MIN($N6,CapBase),$N6))&lt;1000000,10000,100000),0)*IF(ABS($M6*IF(ISNUMBER(CapBase),MIN($N6,CapBase),$N6))&lt;1000000,10000,100000))</f>
        <v>22500000</v>
      </c>
      <c r="U6" s="33">
        <f>IF(ISNUMBER($O6),ROUND(($O6*$P6)/IF(ABS($O6*$P6)&lt;1000000,10000,100000),0)*IF(ABS($O6*$P6)&lt;1000000,10000,100000),ROUND(($M6*IF(ISNUMBER(CapStress),MIN($N6,CapStress),$N6))/IF(ABS($M6*IF(ISNUMBER(CapStress),MIN($N6,CapStress),$N6))&lt;1000000,10000,100000),0)*IF(ABS($M6*IF(ISNUMBER(CapStress),MIN($N6,CapStress),$N6))&lt;1000000,10000,100000))</f>
        <v>11300000</v>
      </c>
      <c r="V6" s="35">
        <f>ROUND(S6/$P6,1)</f>
        <v>22.5</v>
      </c>
      <c r="W6" s="35">
        <f>ROUND(T6/$P6,1)</f>
        <v>7.5</v>
      </c>
      <c r="X6" s="35">
        <f>ROUND(U6/$P6,1)</f>
        <v>3.8</v>
      </c>
      <c r="Y6" s="36">
        <f>IF(AND(OR($C6=SecCo1,$C6=SecCo2),$L6&gt;SecYear,S6&lt;&gt;0),ROUND((SecShare*SecPrice*S6)/IF(ABS(SecShare*SecPrice*S6)&lt;1000000,10000,100000),0)*IF(ABS(SecShare*SecPrice*S6)&lt;1000000,10000,100000),0)</f>
        <v>10100000</v>
      </c>
      <c r="Z6" s="36">
        <f>IF(AND(OR($C6=SecCo1,$C6=SecCo2),$L6&gt;SecYear,S6&lt;&gt;0),ROUND(((1-SecShare)*S6)/IF(ABS((1-SecShare)*S6)&lt;1000000,10000,100000),0)*IF(ABS((1-SecShare)*S6)&lt;1000000,10000,100000),S6)</f>
        <v>50600000</v>
      </c>
      <c r="AA6" s="36">
        <f>IF(AND(OR($C6=SecCo1,$C6=SecCo2),$L6&gt;SecYear,S6&lt;&gt;0),SecShare*$P6,0)</f>
        <v>750000.0</v>
      </c>
      <c r="AB6" s="36">
        <f>$P6-AA6</f>
        <v>2250000.0</v>
      </c>
      <c r="AC6" s="36">
        <f>IF(AND(OR($C6=SecCo1,$C6=SecCo2),$L6&gt;SecYear,T6&lt;&gt;0),ROUND((SecShare*SecPrice*T6)/IF(ABS(SecShare*SecPrice*T6)&lt;1000000,10000,100000),0)*IF(ABS(SecShare*SecPrice*T6)&lt;1000000,10000,100000),0)</f>
        <v>3400000</v>
      </c>
      <c r="AD6" s="36">
        <f>IF(AND(OR($C6=SecCo1,$C6=SecCo2),$L6&gt;SecYear,T6&lt;&gt;0),ROUND(((1-SecShare)*T6)/IF(ABS((1-SecShare)*T6)&lt;1000000,10000,100000),0)*IF(ABS((1-SecShare)*T6)&lt;1000000,10000,100000),T6)</f>
        <v>16900000</v>
      </c>
      <c r="AE6" s="36">
        <f>IF(AND(OR($C6=SecCo1,$C6=SecCo2),$L6&gt;SecYear,T6&lt;&gt;0),SecShare*$P6,0)</f>
        <v>750000.0</v>
      </c>
      <c r="AF6" s="36">
        <f>$P6-AE6</f>
        <v>2250000.0</v>
      </c>
      <c r="AG6" s="36">
        <f>IF(AND(OR($C6=SecCo1,$C6=SecCo2),$L6&gt;SecYear,U6&lt;&gt;0),ROUND((SecShare*SecPrice*U6)/IF(ABS(SecShare*SecPrice*U6)&lt;1000000,10000,100000),0)*IF(ABS(SecShare*SecPrice*U6)&lt;1000000,10000,100000),0)</f>
        <v>1700000</v>
      </c>
      <c r="AH6" s="36">
        <f>IF(AND(OR($C6=SecCo1,$C6=SecCo2),$L6&gt;SecYear,U6&lt;&gt;0),ROUND(((1-SecShare)*U6)/IF(ABS((1-SecShare)*U6)&lt;1000000,10000,100000),0)*IF(ABS((1-SecShare)*U6)&lt;1000000,10000,100000),U6)</f>
        <v>8500000</v>
      </c>
      <c r="AI6" s="36">
        <f>IF(AND(OR($C6=SecCo1,$C6=SecCo2),$L6&gt;SecYear,U6&lt;&gt;0),SecShare*$P6,0)</f>
        <v>750000.0</v>
      </c>
      <c r="AJ6" s="36">
        <f>$P6-AI6</f>
        <v>2250000.0</v>
      </c>
    </row>
    <row r="7" spans="1:36">
      <c r="A7" s="11" t="s">
        <v>134</v>
      </c>
      <c r="B7" s="27" t="s">
        <v>75</v>
      </c>
      <c r="C7" s="27" t="s">
        <v>134</v>
      </c>
      <c r="D7" s="28">
        <v>1</v>
      </c>
      <c r="E7" s="27" t="s">
        <v>135</v>
      </c>
      <c r="F7" s="27" t="s">
        <v>133</v>
      </c>
      <c r="G7" s="29">
        <v>750000</v>
      </c>
      <c r="H7" s="29">
        <v>8000000</v>
      </c>
      <c r="I7" s="29">
        <v>1500000</v>
      </c>
      <c r="J7" s="30">
        <v>1</v>
      </c>
      <c r="K7" s="30">
        <v>2</v>
      </c>
      <c r="L7" s="30">
        <v>7</v>
      </c>
      <c r="M7" s="31">
        <v>0.035</v>
      </c>
      <c r="N7" s="29">
        <v>600000000</v>
      </c>
      <c r="O7" s="32"/>
      <c r="P7" s="33">
        <f>G7+I7</f>
        <v>2250000</v>
      </c>
      <c r="Q7" s="33">
        <f>P7/D7</f>
        <v>2250000.0</v>
      </c>
      <c r="R7" s="34">
        <f>ROUND(G7/D7/H7,3)</f>
        <v>0.094</v>
      </c>
      <c r="S7" s="33">
        <f>IF(ISNUMBER($O7),ROUND(($O7*$P7)/IF(ABS($O7*$P7)&lt;1000000,10000,100000),0)*IF(ABS($O7*$P7)&lt;1000000,10000,100000),ROUND(($M7*IF(ISNUMBER(CapTarget),MIN($N7,CapTarget),$N7))/IF(ABS($M7*IF(ISNUMBER(CapTarget),MIN($N7,CapTarget),$N7))&lt;1000000,10000,100000),0)*IF(ABS($M7*IF(ISNUMBER(CapTarget),MIN($N7,CapTarget),$N7))&lt;1000000,10000,100000))</f>
        <v>21000000</v>
      </c>
      <c r="T7" s="33">
        <f>IF(ISNUMBER($O7),ROUND(($O7*$P7)/IF(ABS($O7*$P7)&lt;1000000,10000,100000),0)*IF(ABS($O7*$P7)&lt;1000000,10000,100000),ROUND(($M7*IF(ISNUMBER(CapBase),MIN($N7,CapBase),$N7))/IF(ABS($M7*IF(ISNUMBER(CapBase),MIN($N7,CapBase),$N7))&lt;1000000,10000,100000),0)*IF(ABS($M7*IF(ISNUMBER(CapBase),MIN($N7,CapBase),$N7))&lt;1000000,10000,100000))</f>
        <v>17500000</v>
      </c>
      <c r="U7" s="33">
        <f>IF(ISNUMBER($O7),ROUND(($O7*$P7)/IF(ABS($O7*$P7)&lt;1000000,10000,100000),0)*IF(ABS($O7*$P7)&lt;1000000,10000,100000),ROUND(($M7*IF(ISNUMBER(CapStress),MIN($N7,CapStress),$N7))/IF(ABS($M7*IF(ISNUMBER(CapStress),MIN($N7,CapStress),$N7))&lt;1000000,10000,100000),0)*IF(ABS($M7*IF(ISNUMBER(CapStress),MIN($N7,CapStress),$N7))&lt;1000000,10000,100000))</f>
        <v>8800000</v>
      </c>
      <c r="V7" s="35">
        <f>ROUND(S7/$P7,1)</f>
        <v>9.3</v>
      </c>
      <c r="W7" s="35">
        <f>ROUND(T7/$P7,1)</f>
        <v>7.8</v>
      </c>
      <c r="X7" s="35">
        <f>ROUND(U7/$P7,1)</f>
        <v>3.9</v>
      </c>
      <c r="Y7" s="36">
        <f>IF(AND(OR($C7=SecCo1,$C7=SecCo2),$L7&gt;SecYear,S7&lt;&gt;0),ROUND((SecShare*SecPrice*S7)/IF(ABS(SecShare*SecPrice*S7)&lt;1000000,10000,100000),0)*IF(ABS(SecShare*SecPrice*S7)&lt;1000000,10000,100000),0)</f>
        <v>0</v>
      </c>
      <c r="Z7" s="36">
        <f>IF(AND(OR($C7=SecCo1,$C7=SecCo2),$L7&gt;SecYear,S7&lt;&gt;0),ROUND(((1-SecShare)*S7)/IF(ABS((1-SecShare)*S7)&lt;1000000,10000,100000),0)*IF(ABS((1-SecShare)*S7)&lt;1000000,10000,100000),S7)</f>
        <v>21000000</v>
      </c>
      <c r="AA7" s="36">
        <f>IF(AND(OR($C7=SecCo1,$C7=SecCo2),$L7&gt;SecYear,S7&lt;&gt;0),SecShare*$P7,0)</f>
        <v>0.0</v>
      </c>
      <c r="AB7" s="36">
        <f>$P7-AA7</f>
        <v>2250000.0</v>
      </c>
      <c r="AC7" s="36">
        <f>IF(AND(OR($C7=SecCo1,$C7=SecCo2),$L7&gt;SecYear,T7&lt;&gt;0),ROUND((SecShare*SecPrice*T7)/IF(ABS(SecShare*SecPrice*T7)&lt;1000000,10000,100000),0)*IF(ABS(SecShare*SecPrice*T7)&lt;1000000,10000,100000),0)</f>
        <v>0</v>
      </c>
      <c r="AD7" s="36">
        <f>IF(AND(OR($C7=SecCo1,$C7=SecCo2),$L7&gt;SecYear,T7&lt;&gt;0),ROUND(((1-SecShare)*T7)/IF(ABS((1-SecShare)*T7)&lt;1000000,10000,100000),0)*IF(ABS((1-SecShare)*T7)&lt;1000000,10000,100000),T7)</f>
        <v>17500000</v>
      </c>
      <c r="AE7" s="36">
        <f>IF(AND(OR($C7=SecCo1,$C7=SecCo2),$L7&gt;SecYear,T7&lt;&gt;0),SecShare*$P7,0)</f>
        <v>0.0</v>
      </c>
      <c r="AF7" s="36">
        <f>$P7-AE7</f>
        <v>2250000.0</v>
      </c>
      <c r="AG7" s="36">
        <f>IF(AND(OR($C7=SecCo1,$C7=SecCo2),$L7&gt;SecYear,U7&lt;&gt;0),ROUND((SecShare*SecPrice*U7)/IF(ABS(SecShare*SecPrice*U7)&lt;1000000,10000,100000),0)*IF(ABS(SecShare*SecPrice*U7)&lt;1000000,10000,100000),0)</f>
        <v>0</v>
      </c>
      <c r="AH7" s="36">
        <f>IF(AND(OR($C7=SecCo1,$C7=SecCo2),$L7&gt;SecYear,U7&lt;&gt;0),ROUND(((1-SecShare)*U7)/IF(ABS((1-SecShare)*U7)&lt;1000000,10000,100000),0)*IF(ABS((1-SecShare)*U7)&lt;1000000,10000,100000),U7)</f>
        <v>8800000</v>
      </c>
      <c r="AI7" s="36">
        <f>IF(AND(OR($C7=SecCo1,$C7=SecCo2),$L7&gt;SecYear,U7&lt;&gt;0),SecShare*$P7,0)</f>
        <v>0.0</v>
      </c>
      <c r="AJ7" s="36">
        <f>$P7-AI7</f>
        <v>2250000.0</v>
      </c>
    </row>
    <row r="8" spans="1:36">
      <c r="A8" s="11" t="s">
        <v>136</v>
      </c>
      <c r="B8" s="27" t="s">
        <v>75</v>
      </c>
      <c r="C8" s="27" t="s">
        <v>136</v>
      </c>
      <c r="D8" s="28">
        <v>1</v>
      </c>
      <c r="E8" s="27" t="s">
        <v>135</v>
      </c>
      <c r="F8" s="27" t="s">
        <v>133</v>
      </c>
      <c r="G8" s="29">
        <v>750000</v>
      </c>
      <c r="H8" s="29">
        <v>10000000</v>
      </c>
      <c r="I8" s="29">
        <v>1000000</v>
      </c>
      <c r="J8" s="30">
        <v>1</v>
      </c>
      <c r="K8" s="30">
        <v>3</v>
      </c>
      <c r="L8" s="30">
        <v>7</v>
      </c>
      <c r="M8" s="31">
        <v>0.03</v>
      </c>
      <c r="N8" s="29">
        <v>300000000</v>
      </c>
      <c r="O8" s="32"/>
      <c r="P8" s="33">
        <f>G8+I8</f>
        <v>1750000</v>
      </c>
      <c r="Q8" s="33">
        <f>P8/D8</f>
        <v>1750000.0</v>
      </c>
      <c r="R8" s="34">
        <f>ROUND(G8/D8/H8,3)</f>
        <v>0.075</v>
      </c>
      <c r="S8" s="33">
        <f>IF(ISNUMBER($O8),ROUND(($O8*$P8)/IF(ABS($O8*$P8)&lt;1000000,10000,100000),0)*IF(ABS($O8*$P8)&lt;1000000,10000,100000),ROUND(($M8*IF(ISNUMBER(CapTarget),MIN($N8,CapTarget),$N8))/IF(ABS($M8*IF(ISNUMBER(CapTarget),MIN($N8,CapTarget),$N8))&lt;1000000,10000,100000),0)*IF(ABS($M8*IF(ISNUMBER(CapTarget),MIN($N8,CapTarget),$N8))&lt;1000000,10000,100000))</f>
        <v>9000000</v>
      </c>
      <c r="T8" s="33">
        <f>IF(ISNUMBER($O8),ROUND(($O8*$P8)/IF(ABS($O8*$P8)&lt;1000000,10000,100000),0)*IF(ABS($O8*$P8)&lt;1000000,10000,100000),ROUND(($M8*IF(ISNUMBER(CapBase),MIN($N8,CapBase),$N8))/IF(ABS($M8*IF(ISNUMBER(CapBase),MIN($N8,CapBase),$N8))&lt;1000000,10000,100000),0)*IF(ABS($M8*IF(ISNUMBER(CapBase),MIN($N8,CapBase),$N8))&lt;1000000,10000,100000))</f>
        <v>9000000</v>
      </c>
      <c r="U8" s="33">
        <f>IF(ISNUMBER($O8),ROUND(($O8*$P8)/IF(ABS($O8*$P8)&lt;1000000,10000,100000),0)*IF(ABS($O8*$P8)&lt;1000000,10000,100000),ROUND(($M8*IF(ISNUMBER(CapStress),MIN($N8,CapStress),$N8))/IF(ABS($M8*IF(ISNUMBER(CapStress),MIN($N8,CapStress),$N8))&lt;1000000,10000,100000),0)*IF(ABS($M8*IF(ISNUMBER(CapStress),MIN($N8,CapStress),$N8))&lt;1000000,10000,100000))</f>
        <v>7500000</v>
      </c>
      <c r="V8" s="35">
        <f>ROUND(S8/$P8,1)</f>
        <v>5.1</v>
      </c>
      <c r="W8" s="35">
        <f>ROUND(T8/$P8,1)</f>
        <v>5.1</v>
      </c>
      <c r="X8" s="35">
        <f>ROUND(U8/$P8,1)</f>
        <v>4.3</v>
      </c>
      <c r="Y8" s="36">
        <f>IF(AND(OR($C8=SecCo1,$C8=SecCo2),$L8&gt;SecYear,S8&lt;&gt;0),ROUND((SecShare*SecPrice*S8)/IF(ABS(SecShare*SecPrice*S8)&lt;1000000,10000,100000),0)*IF(ABS(SecShare*SecPrice*S8)&lt;1000000,10000,100000),0)</f>
        <v>0</v>
      </c>
      <c r="Z8" s="36">
        <f>IF(AND(OR($C8=SecCo1,$C8=SecCo2),$L8&gt;SecYear,S8&lt;&gt;0),ROUND(((1-SecShare)*S8)/IF(ABS((1-SecShare)*S8)&lt;1000000,10000,100000),0)*IF(ABS((1-SecShare)*S8)&lt;1000000,10000,100000),S8)</f>
        <v>9000000</v>
      </c>
      <c r="AA8" s="36">
        <f>IF(AND(OR($C8=SecCo1,$C8=SecCo2),$L8&gt;SecYear,S8&lt;&gt;0),SecShare*$P8,0)</f>
        <v>0.0</v>
      </c>
      <c r="AB8" s="36">
        <f>$P8-AA8</f>
        <v>1750000.0</v>
      </c>
      <c r="AC8" s="36">
        <f>IF(AND(OR($C8=SecCo1,$C8=SecCo2),$L8&gt;SecYear,T8&lt;&gt;0),ROUND((SecShare*SecPrice*T8)/IF(ABS(SecShare*SecPrice*T8)&lt;1000000,10000,100000),0)*IF(ABS(SecShare*SecPrice*T8)&lt;1000000,10000,100000),0)</f>
        <v>0</v>
      </c>
      <c r="AD8" s="36">
        <f>IF(AND(OR($C8=SecCo1,$C8=SecCo2),$L8&gt;SecYear,T8&lt;&gt;0),ROUND(((1-SecShare)*T8)/IF(ABS((1-SecShare)*T8)&lt;1000000,10000,100000),0)*IF(ABS((1-SecShare)*T8)&lt;1000000,10000,100000),T8)</f>
        <v>9000000</v>
      </c>
      <c r="AE8" s="36">
        <f>IF(AND(OR($C8=SecCo1,$C8=SecCo2),$L8&gt;SecYear,T8&lt;&gt;0),SecShare*$P8,0)</f>
        <v>0.0</v>
      </c>
      <c r="AF8" s="36">
        <f>$P8-AE8</f>
        <v>1750000.0</v>
      </c>
      <c r="AG8" s="36">
        <f>IF(AND(OR($C8=SecCo1,$C8=SecCo2),$L8&gt;SecYear,U8&lt;&gt;0),ROUND((SecShare*SecPrice*U8)/IF(ABS(SecShare*SecPrice*U8)&lt;1000000,10000,100000),0)*IF(ABS(SecShare*SecPrice*U8)&lt;1000000,10000,100000),0)</f>
        <v>0</v>
      </c>
      <c r="AH8" s="36">
        <f>IF(AND(OR($C8=SecCo1,$C8=SecCo2),$L8&gt;SecYear,U8&lt;&gt;0),ROUND(((1-SecShare)*U8)/IF(ABS((1-SecShare)*U8)&lt;1000000,10000,100000),0)*IF(ABS((1-SecShare)*U8)&lt;1000000,10000,100000),U8)</f>
        <v>7500000</v>
      </c>
      <c r="AI8" s="36">
        <f>IF(AND(OR($C8=SecCo1,$C8=SecCo2),$L8&gt;SecYear,U8&lt;&gt;0),SecShare*$P8,0)</f>
        <v>0.0</v>
      </c>
      <c r="AJ8" s="36">
        <f>$P8-AI8</f>
        <v>1750000.0</v>
      </c>
    </row>
    <row r="9" spans="1:36">
      <c r="A9" s="11" t="s">
        <v>137</v>
      </c>
      <c r="B9" s="27" t="s">
        <v>75</v>
      </c>
      <c r="C9" s="27" t="s">
        <v>137</v>
      </c>
      <c r="D9" s="28">
        <v>1</v>
      </c>
      <c r="E9" s="27" t="s">
        <v>138</v>
      </c>
      <c r="F9" s="27" t="s">
        <v>133</v>
      </c>
      <c r="G9" s="29">
        <v>500000</v>
      </c>
      <c r="H9" s="29">
        <v>8000000</v>
      </c>
      <c r="I9" s="29">
        <v>500000</v>
      </c>
      <c r="J9" s="30">
        <v>2</v>
      </c>
      <c r="K9" s="30">
        <v>3</v>
      </c>
      <c r="L9" s="30">
        <v>5</v>
      </c>
      <c r="M9" s="31">
        <v>0.05</v>
      </c>
      <c r="N9" s="29">
        <v>150000000</v>
      </c>
      <c r="O9" s="32"/>
      <c r="P9" s="33">
        <f>G9+I9</f>
        <v>1000000</v>
      </c>
      <c r="Q9" s="33">
        <f>P9/D9</f>
        <v>1000000.0</v>
      </c>
      <c r="R9" s="34">
        <f>ROUND(G9/D9/H9,3)</f>
        <v>0.063</v>
      </c>
      <c r="S9" s="33">
        <f>IF(ISNUMBER($O9),ROUND(($O9*$P9)/IF(ABS($O9*$P9)&lt;1000000,10000,100000),0)*IF(ABS($O9*$P9)&lt;1000000,10000,100000),ROUND(($M9*IF(ISNUMBER(CapTarget),MIN($N9,CapTarget),$N9))/IF(ABS($M9*IF(ISNUMBER(CapTarget),MIN($N9,CapTarget),$N9))&lt;1000000,10000,100000),0)*IF(ABS($M9*IF(ISNUMBER(CapTarget),MIN($N9,CapTarget),$N9))&lt;1000000,10000,100000))</f>
        <v>7500000</v>
      </c>
      <c r="T9" s="33">
        <f>IF(ISNUMBER($O9),ROUND(($O9*$P9)/IF(ABS($O9*$P9)&lt;1000000,10000,100000),0)*IF(ABS($O9*$P9)&lt;1000000,10000,100000),ROUND(($M9*IF(ISNUMBER(CapBase),MIN($N9,CapBase),$N9))/IF(ABS($M9*IF(ISNUMBER(CapBase),MIN($N9,CapBase),$N9))&lt;1000000,10000,100000),0)*IF(ABS($M9*IF(ISNUMBER(CapBase),MIN($N9,CapBase),$N9))&lt;1000000,10000,100000))</f>
        <v>7500000</v>
      </c>
      <c r="U9" s="33">
        <f>IF(ISNUMBER($O9),ROUND(($O9*$P9)/IF(ABS($O9*$P9)&lt;1000000,10000,100000),0)*IF(ABS($O9*$P9)&lt;1000000,10000,100000),ROUND(($M9*IF(ISNUMBER(CapStress),MIN($N9,CapStress),$N9))/IF(ABS($M9*IF(ISNUMBER(CapStress),MIN($N9,CapStress),$N9))&lt;1000000,10000,100000),0)*IF(ABS($M9*IF(ISNUMBER(CapStress),MIN($N9,CapStress),$N9))&lt;1000000,10000,100000))</f>
        <v>7500000</v>
      </c>
      <c r="V9" s="35">
        <f>ROUND(S9/$P9,1)</f>
        <v>7.5</v>
      </c>
      <c r="W9" s="35">
        <f>ROUND(T9/$P9,1)</f>
        <v>7.5</v>
      </c>
      <c r="X9" s="35">
        <f>ROUND(U9/$P9,1)</f>
        <v>7.5</v>
      </c>
      <c r="Y9" s="36">
        <f>IF(AND(OR($C9=SecCo1,$C9=SecCo2),$L9&gt;SecYear,S9&lt;&gt;0),ROUND((SecShare*SecPrice*S9)/IF(ABS(SecShare*SecPrice*S9)&lt;1000000,10000,100000),0)*IF(ABS(SecShare*SecPrice*S9)&lt;1000000,10000,100000),0)</f>
        <v>0</v>
      </c>
      <c r="Z9" s="36">
        <f>IF(AND(OR($C9=SecCo1,$C9=SecCo2),$L9&gt;SecYear,S9&lt;&gt;0),ROUND(((1-SecShare)*S9)/IF(ABS((1-SecShare)*S9)&lt;1000000,10000,100000),0)*IF(ABS((1-SecShare)*S9)&lt;1000000,10000,100000),S9)</f>
        <v>7500000</v>
      </c>
      <c r="AA9" s="36">
        <f>IF(AND(OR($C9=SecCo1,$C9=SecCo2),$L9&gt;SecYear,S9&lt;&gt;0),SecShare*$P9,0)</f>
        <v>0.0</v>
      </c>
      <c r="AB9" s="36">
        <f>$P9-AA9</f>
        <v>1000000.0</v>
      </c>
      <c r="AC9" s="36">
        <f>IF(AND(OR($C9=SecCo1,$C9=SecCo2),$L9&gt;SecYear,T9&lt;&gt;0),ROUND((SecShare*SecPrice*T9)/IF(ABS(SecShare*SecPrice*T9)&lt;1000000,10000,100000),0)*IF(ABS(SecShare*SecPrice*T9)&lt;1000000,10000,100000),0)</f>
        <v>0</v>
      </c>
      <c r="AD9" s="36">
        <f>IF(AND(OR($C9=SecCo1,$C9=SecCo2),$L9&gt;SecYear,T9&lt;&gt;0),ROUND(((1-SecShare)*T9)/IF(ABS((1-SecShare)*T9)&lt;1000000,10000,100000),0)*IF(ABS((1-SecShare)*T9)&lt;1000000,10000,100000),T9)</f>
        <v>7500000</v>
      </c>
      <c r="AE9" s="36">
        <f>IF(AND(OR($C9=SecCo1,$C9=SecCo2),$L9&gt;SecYear,T9&lt;&gt;0),SecShare*$P9,0)</f>
        <v>0.0</v>
      </c>
      <c r="AF9" s="36">
        <f>$P9-AE9</f>
        <v>1000000.0</v>
      </c>
      <c r="AG9" s="36">
        <f>IF(AND(OR($C9=SecCo1,$C9=SecCo2),$L9&gt;SecYear,U9&lt;&gt;0),ROUND((SecShare*SecPrice*U9)/IF(ABS(SecShare*SecPrice*U9)&lt;1000000,10000,100000),0)*IF(ABS(SecShare*SecPrice*U9)&lt;1000000,10000,100000),0)</f>
        <v>0</v>
      </c>
      <c r="AH9" s="36">
        <f>IF(AND(OR($C9=SecCo1,$C9=SecCo2),$L9&gt;SecYear,U9&lt;&gt;0),ROUND(((1-SecShare)*U9)/IF(ABS((1-SecShare)*U9)&lt;1000000,10000,100000),0)*IF(ABS((1-SecShare)*U9)&lt;1000000,10000,100000),U9)</f>
        <v>7500000</v>
      </c>
      <c r="AI9" s="36">
        <f>IF(AND(OR($C9=SecCo1,$C9=SecCo2),$L9&gt;SecYear,U9&lt;&gt;0),SecShare*$P9,0)</f>
        <v>0.0</v>
      </c>
      <c r="AJ9" s="36">
        <f>$P9-AI9</f>
        <v>1000000.0</v>
      </c>
    </row>
    <row r="10" spans="1:36">
      <c r="A10" s="11" t="s">
        <v>139</v>
      </c>
      <c r="B10" s="27" t="s">
        <v>75</v>
      </c>
      <c r="C10" s="27" t="s">
        <v>139</v>
      </c>
      <c r="D10" s="28">
        <v>1</v>
      </c>
      <c r="E10" s="27" t="s">
        <v>140</v>
      </c>
      <c r="F10" s="27" t="s">
        <v>133</v>
      </c>
      <c r="G10" s="29">
        <v>500000</v>
      </c>
      <c r="H10" s="29">
        <v>8000000</v>
      </c>
      <c r="I10" s="29">
        <v>500000</v>
      </c>
      <c r="J10" s="30">
        <v>1</v>
      </c>
      <c r="K10" s="30">
        <v>2</v>
      </c>
      <c r="L10" s="30">
        <v>4</v>
      </c>
      <c r="M10" s="31">
        <v>0.045</v>
      </c>
      <c r="N10" s="29">
        <v>60000000</v>
      </c>
      <c r="O10" s="32"/>
      <c r="P10" s="33">
        <f>G10+I10</f>
        <v>1000000</v>
      </c>
      <c r="Q10" s="33">
        <f>P10/D10</f>
        <v>1000000.0</v>
      </c>
      <c r="R10" s="34">
        <f>ROUND(G10/D10/H10,3)</f>
        <v>0.063</v>
      </c>
      <c r="S10" s="33">
        <f>IF(ISNUMBER($O10),ROUND(($O10*$P10)/IF(ABS($O10*$P10)&lt;1000000,10000,100000),0)*IF(ABS($O10*$P10)&lt;1000000,10000,100000),ROUND(($M10*IF(ISNUMBER(CapTarget),MIN($N10,CapTarget),$N10))/IF(ABS($M10*IF(ISNUMBER(CapTarget),MIN($N10,CapTarget),$N10))&lt;1000000,10000,100000),0)*IF(ABS($M10*IF(ISNUMBER(CapTarget),MIN($N10,CapTarget),$N10))&lt;1000000,10000,100000))</f>
        <v>2700000</v>
      </c>
      <c r="T10" s="33">
        <f>IF(ISNUMBER($O10),ROUND(($O10*$P10)/IF(ABS($O10*$P10)&lt;1000000,10000,100000),0)*IF(ABS($O10*$P10)&lt;1000000,10000,100000),ROUND(($M10*IF(ISNUMBER(CapBase),MIN($N10,CapBase),$N10))/IF(ABS($M10*IF(ISNUMBER(CapBase),MIN($N10,CapBase),$N10))&lt;1000000,10000,100000),0)*IF(ABS($M10*IF(ISNUMBER(CapBase),MIN($N10,CapBase),$N10))&lt;1000000,10000,100000))</f>
        <v>2700000</v>
      </c>
      <c r="U10" s="33">
        <f>IF(ISNUMBER($O10),ROUND(($O10*$P10)/IF(ABS($O10*$P10)&lt;1000000,10000,100000),0)*IF(ABS($O10*$P10)&lt;1000000,10000,100000),ROUND(($M10*IF(ISNUMBER(CapStress),MIN($N10,CapStress),$N10))/IF(ABS($M10*IF(ISNUMBER(CapStress),MIN($N10,CapStress),$N10))&lt;1000000,10000,100000),0)*IF(ABS($M10*IF(ISNUMBER(CapStress),MIN($N10,CapStress),$N10))&lt;1000000,10000,100000))</f>
        <v>2700000</v>
      </c>
      <c r="V10" s="35">
        <f>ROUND(S10/$P10,1)</f>
        <v>2.7</v>
      </c>
      <c r="W10" s="35">
        <f>ROUND(T10/$P10,1)</f>
        <v>2.7</v>
      </c>
      <c r="X10" s="35">
        <f>ROUND(U10/$P10,1)</f>
        <v>2.7</v>
      </c>
      <c r="Y10" s="36">
        <f>IF(AND(OR($C10=SecCo1,$C10=SecCo2),$L10&gt;SecYear,S10&lt;&gt;0),ROUND((SecShare*SecPrice*S10)/IF(ABS(SecShare*SecPrice*S10)&lt;1000000,10000,100000),0)*IF(ABS(SecShare*SecPrice*S10)&lt;1000000,10000,100000),0)</f>
        <v>0</v>
      </c>
      <c r="Z10" s="36">
        <f>IF(AND(OR($C10=SecCo1,$C10=SecCo2),$L10&gt;SecYear,S10&lt;&gt;0),ROUND(((1-SecShare)*S10)/IF(ABS((1-SecShare)*S10)&lt;1000000,10000,100000),0)*IF(ABS((1-SecShare)*S10)&lt;1000000,10000,100000),S10)</f>
        <v>2700000</v>
      </c>
      <c r="AA10" s="36">
        <f>IF(AND(OR($C10=SecCo1,$C10=SecCo2),$L10&gt;SecYear,S10&lt;&gt;0),SecShare*$P10,0)</f>
        <v>0.0</v>
      </c>
      <c r="AB10" s="36">
        <f>$P10-AA10</f>
        <v>1000000.0</v>
      </c>
      <c r="AC10" s="36">
        <f>IF(AND(OR($C10=SecCo1,$C10=SecCo2),$L10&gt;SecYear,T10&lt;&gt;0),ROUND((SecShare*SecPrice*T10)/IF(ABS(SecShare*SecPrice*T10)&lt;1000000,10000,100000),0)*IF(ABS(SecShare*SecPrice*T10)&lt;1000000,10000,100000),0)</f>
        <v>0</v>
      </c>
      <c r="AD10" s="36">
        <f>IF(AND(OR($C10=SecCo1,$C10=SecCo2),$L10&gt;SecYear,T10&lt;&gt;0),ROUND(((1-SecShare)*T10)/IF(ABS((1-SecShare)*T10)&lt;1000000,10000,100000),0)*IF(ABS((1-SecShare)*T10)&lt;1000000,10000,100000),T10)</f>
        <v>2700000</v>
      </c>
      <c r="AE10" s="36">
        <f>IF(AND(OR($C10=SecCo1,$C10=SecCo2),$L10&gt;SecYear,T10&lt;&gt;0),SecShare*$P10,0)</f>
        <v>0.0</v>
      </c>
      <c r="AF10" s="36">
        <f>$P10-AE10</f>
        <v>1000000.0</v>
      </c>
      <c r="AG10" s="36">
        <f>IF(AND(OR($C10=SecCo1,$C10=SecCo2),$L10&gt;SecYear,U10&lt;&gt;0),ROUND((SecShare*SecPrice*U10)/IF(ABS(SecShare*SecPrice*U10)&lt;1000000,10000,100000),0)*IF(ABS(SecShare*SecPrice*U10)&lt;1000000,10000,100000),0)</f>
        <v>0</v>
      </c>
      <c r="AH10" s="36">
        <f>IF(AND(OR($C10=SecCo1,$C10=SecCo2),$L10&gt;SecYear,U10&lt;&gt;0),ROUND(((1-SecShare)*U10)/IF(ABS((1-SecShare)*U10)&lt;1000000,10000,100000),0)*IF(ABS((1-SecShare)*U10)&lt;1000000,10000,100000),U10)</f>
        <v>2700000</v>
      </c>
      <c r="AI10" s="36">
        <f>IF(AND(OR($C10=SecCo1,$C10=SecCo2),$L10&gt;SecYear,U10&lt;&gt;0),SecShare*$P10,0)</f>
        <v>0.0</v>
      </c>
      <c r="AJ10" s="36">
        <f>$P10-AI10</f>
        <v>1000000.0</v>
      </c>
    </row>
    <row r="11" spans="1:36">
      <c r="A11" s="11" t="s">
        <v>141</v>
      </c>
      <c r="B11" s="27" t="s">
        <v>75</v>
      </c>
      <c r="C11" s="27" t="s">
        <v>141</v>
      </c>
      <c r="D11" s="28">
        <v>1</v>
      </c>
      <c r="E11" s="27" t="s">
        <v>140</v>
      </c>
      <c r="F11" s="27" t="s">
        <v>133</v>
      </c>
      <c r="G11" s="29">
        <v>300000</v>
      </c>
      <c r="H11" s="29">
        <v>6000000</v>
      </c>
      <c r="I11" s="29">
        <v>0</v>
      </c>
      <c r="J11" s="30">
        <v>2</v>
      </c>
      <c r="K11" s="30"/>
      <c r="L11" s="30">
        <v>4</v>
      </c>
      <c r="M11" s="31">
        <v>0.04</v>
      </c>
      <c r="N11" s="29">
        <v>40000000</v>
      </c>
      <c r="O11" s="32"/>
      <c r="P11" s="33">
        <f>G11+I11</f>
        <v>300000</v>
      </c>
      <c r="Q11" s="33">
        <f>P11/D11</f>
        <v>300000.0</v>
      </c>
      <c r="R11" s="34">
        <f>ROUND(G11/D11/H11,3)</f>
        <v>0.05</v>
      </c>
      <c r="S11" s="33">
        <f>IF(ISNUMBER($O11),ROUND(($O11*$P11)/IF(ABS($O11*$P11)&lt;1000000,10000,100000),0)*IF(ABS($O11*$P11)&lt;1000000,10000,100000),ROUND(($M11*IF(ISNUMBER(CapTarget),MIN($N11,CapTarget),$N11))/IF(ABS($M11*IF(ISNUMBER(CapTarget),MIN($N11,CapTarget),$N11))&lt;1000000,10000,100000),0)*IF(ABS($M11*IF(ISNUMBER(CapTarget),MIN($N11,CapTarget),$N11))&lt;1000000,10000,100000))</f>
        <v>1600000</v>
      </c>
      <c r="T11" s="33">
        <f>IF(ISNUMBER($O11),ROUND(($O11*$P11)/IF(ABS($O11*$P11)&lt;1000000,10000,100000),0)*IF(ABS($O11*$P11)&lt;1000000,10000,100000),ROUND(($M11*IF(ISNUMBER(CapBase),MIN($N11,CapBase),$N11))/IF(ABS($M11*IF(ISNUMBER(CapBase),MIN($N11,CapBase),$N11))&lt;1000000,10000,100000),0)*IF(ABS($M11*IF(ISNUMBER(CapBase),MIN($N11,CapBase),$N11))&lt;1000000,10000,100000))</f>
        <v>1600000</v>
      </c>
      <c r="U11" s="33">
        <f>IF(ISNUMBER($O11),ROUND(($O11*$P11)/IF(ABS($O11*$P11)&lt;1000000,10000,100000),0)*IF(ABS($O11*$P11)&lt;1000000,10000,100000),ROUND(($M11*IF(ISNUMBER(CapStress),MIN($N11,CapStress),$N11))/IF(ABS($M11*IF(ISNUMBER(CapStress),MIN($N11,CapStress),$N11))&lt;1000000,10000,100000),0)*IF(ABS($M11*IF(ISNUMBER(CapStress),MIN($N11,CapStress),$N11))&lt;1000000,10000,100000))</f>
        <v>1600000</v>
      </c>
      <c r="V11" s="35">
        <f>ROUND(S11/$P11,1)</f>
        <v>5.3</v>
      </c>
      <c r="W11" s="35">
        <f>ROUND(T11/$P11,1)</f>
        <v>5.3</v>
      </c>
      <c r="X11" s="35">
        <f>ROUND(U11/$P11,1)</f>
        <v>5.3</v>
      </c>
      <c r="Y11" s="36">
        <f>IF(AND(OR($C11=SecCo1,$C11=SecCo2),$L11&gt;SecYear,S11&lt;&gt;0),ROUND((SecShare*SecPrice*S11)/IF(ABS(SecShare*SecPrice*S11)&lt;1000000,10000,100000),0)*IF(ABS(SecShare*SecPrice*S11)&lt;1000000,10000,100000),0)</f>
        <v>0</v>
      </c>
      <c r="Z11" s="36">
        <f>IF(AND(OR($C11=SecCo1,$C11=SecCo2),$L11&gt;SecYear,S11&lt;&gt;0),ROUND(((1-SecShare)*S11)/IF(ABS((1-SecShare)*S11)&lt;1000000,10000,100000),0)*IF(ABS((1-SecShare)*S11)&lt;1000000,10000,100000),S11)</f>
        <v>1600000</v>
      </c>
      <c r="AA11" s="36">
        <f>IF(AND(OR($C11=SecCo1,$C11=SecCo2),$L11&gt;SecYear,S11&lt;&gt;0),SecShare*$P11,0)</f>
        <v>0.0</v>
      </c>
      <c r="AB11" s="36">
        <f>$P11-AA11</f>
        <v>300000.0</v>
      </c>
      <c r="AC11" s="36">
        <f>IF(AND(OR($C11=SecCo1,$C11=SecCo2),$L11&gt;SecYear,T11&lt;&gt;0),ROUND((SecShare*SecPrice*T11)/IF(ABS(SecShare*SecPrice*T11)&lt;1000000,10000,100000),0)*IF(ABS(SecShare*SecPrice*T11)&lt;1000000,10000,100000),0)</f>
        <v>0</v>
      </c>
      <c r="AD11" s="36">
        <f>IF(AND(OR($C11=SecCo1,$C11=SecCo2),$L11&gt;SecYear,T11&lt;&gt;0),ROUND(((1-SecShare)*T11)/IF(ABS((1-SecShare)*T11)&lt;1000000,10000,100000),0)*IF(ABS((1-SecShare)*T11)&lt;1000000,10000,100000),T11)</f>
        <v>1600000</v>
      </c>
      <c r="AE11" s="36">
        <f>IF(AND(OR($C11=SecCo1,$C11=SecCo2),$L11&gt;SecYear,T11&lt;&gt;0),SecShare*$P11,0)</f>
        <v>0.0</v>
      </c>
      <c r="AF11" s="36">
        <f>$P11-AE11</f>
        <v>300000.0</v>
      </c>
      <c r="AG11" s="36">
        <f>IF(AND(OR($C11=SecCo1,$C11=SecCo2),$L11&gt;SecYear,U11&lt;&gt;0),ROUND((SecShare*SecPrice*U11)/IF(ABS(SecShare*SecPrice*U11)&lt;1000000,10000,100000),0)*IF(ABS(SecShare*SecPrice*U11)&lt;1000000,10000,100000),0)</f>
        <v>0</v>
      </c>
      <c r="AH11" s="36">
        <f>IF(AND(OR($C11=SecCo1,$C11=SecCo2),$L11&gt;SecYear,U11&lt;&gt;0),ROUND(((1-SecShare)*U11)/IF(ABS((1-SecShare)*U11)&lt;1000000,10000,100000),0)*IF(ABS((1-SecShare)*U11)&lt;1000000,10000,100000),U11)</f>
        <v>1600000</v>
      </c>
      <c r="AI11" s="36">
        <f>IF(AND(OR($C11=SecCo1,$C11=SecCo2),$L11&gt;SecYear,U11&lt;&gt;0),SecShare*$P11,0)</f>
        <v>0.0</v>
      </c>
      <c r="AJ11" s="36">
        <f>$P11-AI11</f>
        <v>300000.0</v>
      </c>
    </row>
    <row r="12" spans="1:36">
      <c r="A12" s="11" t="s">
        <v>142</v>
      </c>
      <c r="B12" s="27" t="s">
        <v>75</v>
      </c>
      <c r="C12" s="27" t="s">
        <v>143</v>
      </c>
      <c r="D12" s="28">
        <v>3</v>
      </c>
      <c r="E12" s="27" t="s">
        <v>144</v>
      </c>
      <c r="F12" s="27" t="s">
        <v>133</v>
      </c>
      <c r="G12" s="29">
        <v>1200000</v>
      </c>
      <c r="H12" s="29">
        <v>8000000</v>
      </c>
      <c r="I12" s="29">
        <v>600000</v>
      </c>
      <c r="J12" s="30">
        <v>2</v>
      </c>
      <c r="K12" s="30">
        <v>3</v>
      </c>
      <c r="L12" s="30">
        <v>7</v>
      </c>
      <c r="M12" s="31"/>
      <c r="N12" s="29"/>
      <c r="O12" s="32">
        <v>0.5</v>
      </c>
      <c r="P12" s="33">
        <f>G12+I12</f>
        <v>1800000</v>
      </c>
      <c r="Q12" s="33">
        <f>P12/D12</f>
        <v>600000.0</v>
      </c>
      <c r="R12" s="34">
        <f>ROUND(G12/D12/H12,3)</f>
        <v>0.05</v>
      </c>
      <c r="S12" s="33">
        <f>IF(ISNUMBER($O12),ROUND(($O12*$P12)/IF(ABS($O12*$P12)&lt;1000000,10000,100000),0)*IF(ABS($O12*$P12)&lt;1000000,10000,100000),ROUND(($M12*IF(ISNUMBER(CapTarget),MIN($N12,CapTarget),$N12))/IF(ABS($M12*IF(ISNUMBER(CapTarget),MIN($N12,CapTarget),$N12))&lt;1000000,10000,100000),0)*IF(ABS($M12*IF(ISNUMBER(CapTarget),MIN($N12,CapTarget),$N12))&lt;1000000,10000,100000))</f>
        <v>900000</v>
      </c>
      <c r="T12" s="33">
        <f>IF(ISNUMBER($O12),ROUND(($O12*$P12)/IF(ABS($O12*$P12)&lt;1000000,10000,100000),0)*IF(ABS($O12*$P12)&lt;1000000,10000,100000),ROUND(($M12*IF(ISNUMBER(CapBase),MIN($N12,CapBase),$N12))/IF(ABS($M12*IF(ISNUMBER(CapBase),MIN($N12,CapBase),$N12))&lt;1000000,10000,100000),0)*IF(ABS($M12*IF(ISNUMBER(CapBase),MIN($N12,CapBase),$N12))&lt;1000000,10000,100000))</f>
        <v>900000</v>
      </c>
      <c r="U12" s="33">
        <f>IF(ISNUMBER($O12),ROUND(($O12*$P12)/IF(ABS($O12*$P12)&lt;1000000,10000,100000),0)*IF(ABS($O12*$P12)&lt;1000000,10000,100000),ROUND(($M12*IF(ISNUMBER(CapStress),MIN($N12,CapStress),$N12))/IF(ABS($M12*IF(ISNUMBER(CapStress),MIN($N12,CapStress),$N12))&lt;1000000,10000,100000),0)*IF(ABS($M12*IF(ISNUMBER(CapStress),MIN($N12,CapStress),$N12))&lt;1000000,10000,100000))</f>
        <v>900000</v>
      </c>
      <c r="V12" s="35">
        <f>ROUND(S12/$P12,1)</f>
        <v>0.5</v>
      </c>
      <c r="W12" s="35">
        <f>ROUND(T12/$P12,1)</f>
        <v>0.5</v>
      </c>
      <c r="X12" s="35">
        <f>ROUND(U12/$P12,1)</f>
        <v>0.5</v>
      </c>
      <c r="Y12" s="36">
        <f>IF(AND(OR($C12=SecCo1,$C12=SecCo2),$L12&gt;SecYear,S12&lt;&gt;0),ROUND((SecShare*SecPrice*S12)/IF(ABS(SecShare*SecPrice*S12)&lt;1000000,10000,100000),0)*IF(ABS(SecShare*SecPrice*S12)&lt;1000000,10000,100000),0)</f>
        <v>0</v>
      </c>
      <c r="Z12" s="36">
        <f>IF(AND(OR($C12=SecCo1,$C12=SecCo2),$L12&gt;SecYear,S12&lt;&gt;0),ROUND(((1-SecShare)*S12)/IF(ABS((1-SecShare)*S12)&lt;1000000,10000,100000),0)*IF(ABS((1-SecShare)*S12)&lt;1000000,10000,100000),S12)</f>
        <v>900000</v>
      </c>
      <c r="AA12" s="36">
        <f>IF(AND(OR($C12=SecCo1,$C12=SecCo2),$L12&gt;SecYear,S12&lt;&gt;0),SecShare*$P12,0)</f>
        <v>0.0</v>
      </c>
      <c r="AB12" s="36">
        <f>$P12-AA12</f>
        <v>1800000.0</v>
      </c>
      <c r="AC12" s="36">
        <f>IF(AND(OR($C12=SecCo1,$C12=SecCo2),$L12&gt;SecYear,T12&lt;&gt;0),ROUND((SecShare*SecPrice*T12)/IF(ABS(SecShare*SecPrice*T12)&lt;1000000,10000,100000),0)*IF(ABS(SecShare*SecPrice*T12)&lt;1000000,10000,100000),0)</f>
        <v>0</v>
      </c>
      <c r="AD12" s="36">
        <f>IF(AND(OR($C12=SecCo1,$C12=SecCo2),$L12&gt;SecYear,T12&lt;&gt;0),ROUND(((1-SecShare)*T12)/IF(ABS((1-SecShare)*T12)&lt;1000000,10000,100000),0)*IF(ABS((1-SecShare)*T12)&lt;1000000,10000,100000),T12)</f>
        <v>900000</v>
      </c>
      <c r="AE12" s="36">
        <f>IF(AND(OR($C12=SecCo1,$C12=SecCo2),$L12&gt;SecYear,T12&lt;&gt;0),SecShare*$P12,0)</f>
        <v>0.0</v>
      </c>
      <c r="AF12" s="36">
        <f>$P12-AE12</f>
        <v>1800000.0</v>
      </c>
      <c r="AG12" s="36">
        <f>IF(AND(OR($C12=SecCo1,$C12=SecCo2),$L12&gt;SecYear,U12&lt;&gt;0),ROUND((SecShare*SecPrice*U12)/IF(ABS(SecShare*SecPrice*U12)&lt;1000000,10000,100000),0)*IF(ABS(SecShare*SecPrice*U12)&lt;1000000,10000,100000),0)</f>
        <v>0</v>
      </c>
      <c r="AH12" s="36">
        <f>IF(AND(OR($C12=SecCo1,$C12=SecCo2),$L12&gt;SecYear,U12&lt;&gt;0),ROUND(((1-SecShare)*U12)/IF(ABS((1-SecShare)*U12)&lt;1000000,10000,100000),0)*IF(ABS((1-SecShare)*U12)&lt;1000000,10000,100000),U12)</f>
        <v>900000</v>
      </c>
      <c r="AI12" s="36">
        <f>IF(AND(OR($C12=SecCo1,$C12=SecCo2),$L12&gt;SecYear,U12&lt;&gt;0),SecShare*$P12,0)</f>
        <v>0.0</v>
      </c>
      <c r="AJ12" s="36">
        <f>$P12-AI12</f>
        <v>1800000.0</v>
      </c>
    </row>
    <row r="13" spans="1:36">
      <c r="A13" s="11" t="s">
        <v>145</v>
      </c>
      <c r="B13" s="27" t="s">
        <v>75</v>
      </c>
      <c r="C13" s="27" t="s">
        <v>146</v>
      </c>
      <c r="D13" s="28">
        <v>9</v>
      </c>
      <c r="E13" s="27" t="s">
        <v>147</v>
      </c>
      <c r="F13" s="27" t="s">
        <v>133</v>
      </c>
      <c r="G13" s="29">
        <v>4000000</v>
      </c>
      <c r="H13" s="29">
        <v>8000000</v>
      </c>
      <c r="I13" s="29">
        <v>1400000</v>
      </c>
      <c r="J13" s="30">
        <v>2</v>
      </c>
      <c r="K13" s="30">
        <v>3</v>
      </c>
      <c r="L13" s="30">
        <v>5</v>
      </c>
      <c r="M13" s="31"/>
      <c r="N13" s="29"/>
      <c r="O13" s="32">
        <v>0</v>
      </c>
      <c r="P13" s="33">
        <f>G13+I13</f>
        <v>5400000</v>
      </c>
      <c r="Q13" s="33">
        <f>P13/D13</f>
        <v>600000.0</v>
      </c>
      <c r="R13" s="34">
        <f>ROUND(G13/D13/H13,3)</f>
        <v>0.056</v>
      </c>
      <c r="S13" s="33">
        <f>IF(ISNUMBER($O13),ROUND(($O13*$P13)/IF(ABS($O13*$P13)&lt;1000000,10000,100000),0)*IF(ABS($O13*$P13)&lt;1000000,10000,100000),ROUND(($M13*IF(ISNUMBER(CapTarget),MIN($N13,CapTarget),$N13))/IF(ABS($M13*IF(ISNUMBER(CapTarget),MIN($N13,CapTarget),$N13))&lt;1000000,10000,100000),0)*IF(ABS($M13*IF(ISNUMBER(CapTarget),MIN($N13,CapTarget),$N13))&lt;1000000,10000,100000))</f>
        <v>0</v>
      </c>
      <c r="T13" s="33">
        <f>IF(ISNUMBER($O13),ROUND(($O13*$P13)/IF(ABS($O13*$P13)&lt;1000000,10000,100000),0)*IF(ABS($O13*$P13)&lt;1000000,10000,100000),ROUND(($M13*IF(ISNUMBER(CapBase),MIN($N13,CapBase),$N13))/IF(ABS($M13*IF(ISNUMBER(CapBase),MIN($N13,CapBase),$N13))&lt;1000000,10000,100000),0)*IF(ABS($M13*IF(ISNUMBER(CapBase),MIN($N13,CapBase),$N13))&lt;1000000,10000,100000))</f>
        <v>0</v>
      </c>
      <c r="U13" s="33">
        <f>IF(ISNUMBER($O13),ROUND(($O13*$P13)/IF(ABS($O13*$P13)&lt;1000000,10000,100000),0)*IF(ABS($O13*$P13)&lt;1000000,10000,100000),ROUND(($M13*IF(ISNUMBER(CapStress),MIN($N13,CapStress),$N13))/IF(ABS($M13*IF(ISNUMBER(CapStress),MIN($N13,CapStress),$N13))&lt;1000000,10000,100000),0)*IF(ABS($M13*IF(ISNUMBER(CapStress),MIN($N13,CapStress),$N13))&lt;1000000,10000,100000))</f>
        <v>0</v>
      </c>
      <c r="V13" s="35">
        <f>ROUND(S13/$P13,1)</f>
        <v>0.0</v>
      </c>
      <c r="W13" s="35">
        <f>ROUND(T13/$P13,1)</f>
        <v>0.0</v>
      </c>
      <c r="X13" s="35">
        <f>ROUND(U13/$P13,1)</f>
        <v>0.0</v>
      </c>
      <c r="Y13" s="36">
        <f>IF(AND(OR($C13=SecCo1,$C13=SecCo2),$L13&gt;SecYear,S13&lt;&gt;0),ROUND((SecShare*SecPrice*S13)/IF(ABS(SecShare*SecPrice*S13)&lt;1000000,10000,100000),0)*IF(ABS(SecShare*SecPrice*S13)&lt;1000000,10000,100000),0)</f>
        <v>0</v>
      </c>
      <c r="Z13" s="36">
        <f>IF(AND(OR($C13=SecCo1,$C13=SecCo2),$L13&gt;SecYear,S13&lt;&gt;0),ROUND(((1-SecShare)*S13)/IF(ABS((1-SecShare)*S13)&lt;1000000,10000,100000),0)*IF(ABS((1-SecShare)*S13)&lt;1000000,10000,100000),S13)</f>
        <v>0</v>
      </c>
      <c r="AA13" s="36">
        <f>IF(AND(OR($C13=SecCo1,$C13=SecCo2),$L13&gt;SecYear,S13&lt;&gt;0),SecShare*$P13,0)</f>
        <v>0.0</v>
      </c>
      <c r="AB13" s="36">
        <f>$P13-AA13</f>
        <v>5400000.0</v>
      </c>
      <c r="AC13" s="36">
        <f>IF(AND(OR($C13=SecCo1,$C13=SecCo2),$L13&gt;SecYear,T13&lt;&gt;0),ROUND((SecShare*SecPrice*T13)/IF(ABS(SecShare*SecPrice*T13)&lt;1000000,10000,100000),0)*IF(ABS(SecShare*SecPrice*T13)&lt;1000000,10000,100000),0)</f>
        <v>0</v>
      </c>
      <c r="AD13" s="36">
        <f>IF(AND(OR($C13=SecCo1,$C13=SecCo2),$L13&gt;SecYear,T13&lt;&gt;0),ROUND(((1-SecShare)*T13)/IF(ABS((1-SecShare)*T13)&lt;1000000,10000,100000),0)*IF(ABS((1-SecShare)*T13)&lt;1000000,10000,100000),T13)</f>
        <v>0</v>
      </c>
      <c r="AE13" s="36">
        <f>IF(AND(OR($C13=SecCo1,$C13=SecCo2),$L13&gt;SecYear,T13&lt;&gt;0),SecShare*$P13,0)</f>
        <v>0.0</v>
      </c>
      <c r="AF13" s="36">
        <f>$P13-AE13</f>
        <v>5400000.0</v>
      </c>
      <c r="AG13" s="36">
        <f>IF(AND(OR($C13=SecCo1,$C13=SecCo2),$L13&gt;SecYear,U13&lt;&gt;0),ROUND((SecShare*SecPrice*U13)/IF(ABS(SecShare*SecPrice*U13)&lt;1000000,10000,100000),0)*IF(ABS(SecShare*SecPrice*U13)&lt;1000000,10000,100000),0)</f>
        <v>0</v>
      </c>
      <c r="AH13" s="36">
        <f>IF(AND(OR($C13=SecCo1,$C13=SecCo2),$L13&gt;SecYear,U13&lt;&gt;0),ROUND(((1-SecShare)*U13)/IF(ABS((1-SecShare)*U13)&lt;1000000,10000,100000),0)*IF(ABS((1-SecShare)*U13)&lt;1000000,10000,100000),U13)</f>
        <v>0</v>
      </c>
      <c r="AI13" s="36">
        <f>IF(AND(OR($C13=SecCo1,$C13=SecCo2),$L13&gt;SecYear,U13&lt;&gt;0),SecShare*$P13,0)</f>
        <v>0.0</v>
      </c>
      <c r="AJ13" s="36">
        <f>$P13-AI13</f>
        <v>5400000.0</v>
      </c>
    </row>
    <row r="14" spans="1:36">
      <c r="A14" s="37" t="s">
        <v>172</v>
      </c>
      <c r="B14" s="37"/>
      <c r="C14" s="37"/>
      <c r="D14" s="37"/>
      <c r="E14" s="37" t="s">
        <v>173</v>
      </c>
      <c r="F14" s="37"/>
      <c r="G14" s="38">
        <f>SUM(G6:G13)</f>
        <v>9000000</v>
      </c>
      <c r="H14" s="37"/>
      <c r="I14" s="38">
        <f>SUM(I6:I13)</f>
        <v>7500000</v>
      </c>
      <c r="J14" s="37"/>
      <c r="K14" s="37"/>
      <c r="L14" s="37"/>
      <c r="M14" s="37"/>
      <c r="N14" s="37"/>
      <c r="O14" s="37"/>
      <c r="P14" s="38">
        <f>SUM(P6:P13)</f>
        <v>16500000</v>
      </c>
      <c r="Q14" s="37"/>
      <c r="R14" s="37"/>
      <c r="S14" s="38">
        <f>SUM(S6:S13)</f>
        <v>110200000</v>
      </c>
      <c r="T14" s="38">
        <f>SUM(T6:T13)</f>
        <v>61700000</v>
      </c>
      <c r="U14" s="38">
        <f>SUM(U6:U13)</f>
        <v>40300000</v>
      </c>
      <c r="V14" s="39">
        <f>ROUND(S14/P14,1)</f>
        <v>6.7</v>
      </c>
      <c r="W14" s="39">
        <f>ROUND(T14/P14,1)</f>
        <v>3.7</v>
      </c>
      <c r="X14" s="39">
        <f>ROUND(U14/P14,1)</f>
        <v>2.4</v>
      </c>
    </row>
    <row r="15" spans="1:36">
      <c r="A15" s="11" t="s">
        <v>67</v>
      </c>
      <c r="B15" s="27" t="s">
        <v>76</v>
      </c>
      <c r="C15" s="27" t="s">
        <v>67</v>
      </c>
      <c r="D15" s="28">
        <v>1</v>
      </c>
      <c r="E15" s="27" t="s">
        <v>148</v>
      </c>
      <c r="F15" s="27" t="s">
        <v>133</v>
      </c>
      <c r="G15" s="29">
        <v>3000000</v>
      </c>
      <c r="H15" s="29">
        <v>45000000</v>
      </c>
      <c r="I15" s="29">
        <v>2000000</v>
      </c>
      <c r="J15" s="30">
        <v>1</v>
      </c>
      <c r="K15" s="30">
        <v>3</v>
      </c>
      <c r="L15" s="30">
        <v>8</v>
      </c>
      <c r="M15" s="31">
        <v>0.045</v>
      </c>
      <c r="N15" s="29">
        <v>1200000000</v>
      </c>
      <c r="O15" s="32"/>
      <c r="P15" s="33">
        <f>G15+I15</f>
        <v>5000000</v>
      </c>
      <c r="Q15" s="33">
        <f>P15/D15</f>
        <v>5000000.0</v>
      </c>
      <c r="R15" s="34">
        <f>ROUND(G15/D15/H15,3)</f>
        <v>0.067</v>
      </c>
      <c r="S15" s="33">
        <f>IF(ISNUMBER($O15),ROUND(($O15*$P15)/IF(ABS($O15*$P15)&lt;1000000,10000,100000),0)*IF(ABS($O15*$P15)&lt;1000000,10000,100000),ROUND(($M15*IF(ISNUMBER(CapTarget),MIN($N15,CapTarget),$N15))/IF(ABS($M15*IF(ISNUMBER(CapTarget),MIN($N15,CapTarget),$N15))&lt;1000000,10000,100000),0)*IF(ABS($M15*IF(ISNUMBER(CapTarget),MIN($N15,CapTarget),$N15))&lt;1000000,10000,100000))</f>
        <v>54000000</v>
      </c>
      <c r="T15" s="33">
        <f>IF(ISNUMBER($O15),ROUND(($O15*$P15)/IF(ABS($O15*$P15)&lt;1000000,10000,100000),0)*IF(ABS($O15*$P15)&lt;1000000,10000,100000),ROUND(($M15*IF(ISNUMBER(CapBase),MIN($N15,CapBase),$N15))/IF(ABS($M15*IF(ISNUMBER(CapBase),MIN($N15,CapBase),$N15))&lt;1000000,10000,100000),0)*IF(ABS($M15*IF(ISNUMBER(CapBase),MIN($N15,CapBase),$N15))&lt;1000000,10000,100000))</f>
        <v>22500000</v>
      </c>
      <c r="U15" s="33">
        <f>IF(ISNUMBER($O15),ROUND(($O15*$P15)/IF(ABS($O15*$P15)&lt;1000000,10000,100000),0)*IF(ABS($O15*$P15)&lt;1000000,10000,100000),ROUND(($M15*IF(ISNUMBER(CapStress),MIN($N15,CapStress),$N15))/IF(ABS($M15*IF(ISNUMBER(CapStress),MIN($N15,CapStress),$N15))&lt;1000000,10000,100000),0)*IF(ABS($M15*IF(ISNUMBER(CapStress),MIN($N15,CapStress),$N15))&lt;1000000,10000,100000))</f>
        <v>11300000</v>
      </c>
      <c r="V15" s="35">
        <f>ROUND(S15/$P15,1)</f>
        <v>10.8</v>
      </c>
      <c r="W15" s="35">
        <f>ROUND(T15/$P15,1)</f>
        <v>4.5</v>
      </c>
      <c r="X15" s="35">
        <f>ROUND(U15/$P15,1)</f>
        <v>2.3</v>
      </c>
      <c r="Y15" s="36">
        <f>IF(AND(OR($C15=SecCo1,$C15=SecCo2),$L15&gt;SecYear,S15&lt;&gt;0),ROUND((SecShare*SecPrice*S15)/IF(ABS(SecShare*SecPrice*S15)&lt;1000000,10000,100000),0)*IF(ABS(SecShare*SecPrice*S15)&lt;1000000,10000,100000),0)</f>
        <v>8100000</v>
      </c>
      <c r="Z15" s="36">
        <f>IF(AND(OR($C15=SecCo1,$C15=SecCo2),$L15&gt;SecYear,S15&lt;&gt;0),ROUND(((1-SecShare)*S15)/IF(ABS((1-SecShare)*S15)&lt;1000000,10000,100000),0)*IF(ABS((1-SecShare)*S15)&lt;1000000,10000,100000),S15)</f>
        <v>40500000</v>
      </c>
      <c r="AA15" s="36">
        <f>IF(AND(OR($C15=SecCo1,$C15=SecCo2),$L15&gt;SecYear,S15&lt;&gt;0),SecShare*$P15,0)</f>
        <v>1250000.0</v>
      </c>
      <c r="AB15" s="36">
        <f>$P15-AA15</f>
        <v>3750000.0</v>
      </c>
      <c r="AC15" s="36">
        <f>IF(AND(OR($C15=SecCo1,$C15=SecCo2),$L15&gt;SecYear,T15&lt;&gt;0),ROUND((SecShare*SecPrice*T15)/IF(ABS(SecShare*SecPrice*T15)&lt;1000000,10000,100000),0)*IF(ABS(SecShare*SecPrice*T15)&lt;1000000,10000,100000),0)</f>
        <v>3400000</v>
      </c>
      <c r="AD15" s="36">
        <f>IF(AND(OR($C15=SecCo1,$C15=SecCo2),$L15&gt;SecYear,T15&lt;&gt;0),ROUND(((1-SecShare)*T15)/IF(ABS((1-SecShare)*T15)&lt;1000000,10000,100000),0)*IF(ABS((1-SecShare)*T15)&lt;1000000,10000,100000),T15)</f>
        <v>16900000</v>
      </c>
      <c r="AE15" s="36">
        <f>IF(AND(OR($C15=SecCo1,$C15=SecCo2),$L15&gt;SecYear,T15&lt;&gt;0),SecShare*$P15,0)</f>
        <v>1250000.0</v>
      </c>
      <c r="AF15" s="36">
        <f>$P15-AE15</f>
        <v>3750000.0</v>
      </c>
      <c r="AG15" s="36">
        <f>IF(AND(OR($C15=SecCo1,$C15=SecCo2),$L15&gt;SecYear,U15&lt;&gt;0),ROUND((SecShare*SecPrice*U15)/IF(ABS(SecShare*SecPrice*U15)&lt;1000000,10000,100000),0)*IF(ABS(SecShare*SecPrice*U15)&lt;1000000,10000,100000),0)</f>
        <v>1700000</v>
      </c>
      <c r="AH15" s="36">
        <f>IF(AND(OR($C15=SecCo1,$C15=SecCo2),$L15&gt;SecYear,U15&lt;&gt;0),ROUND(((1-SecShare)*U15)/IF(ABS((1-SecShare)*U15)&lt;1000000,10000,100000),0)*IF(ABS((1-SecShare)*U15)&lt;1000000,10000,100000),U15)</f>
        <v>8500000</v>
      </c>
      <c r="AI15" s="36">
        <f>IF(AND(OR($C15=SecCo1,$C15=SecCo2),$L15&gt;SecYear,U15&lt;&gt;0),SecShare*$P15,0)</f>
        <v>1250000.0</v>
      </c>
      <c r="AJ15" s="36">
        <f>$P15-AI15</f>
        <v>3750000.0</v>
      </c>
    </row>
    <row r="16" spans="1:36">
      <c r="A16" s="11" t="s">
        <v>149</v>
      </c>
      <c r="B16" s="27" t="s">
        <v>76</v>
      </c>
      <c r="C16" s="27" t="s">
        <v>149</v>
      </c>
      <c r="D16" s="28">
        <v>1</v>
      </c>
      <c r="E16" s="27" t="s">
        <v>150</v>
      </c>
      <c r="F16" s="27" t="s">
        <v>133</v>
      </c>
      <c r="G16" s="29">
        <v>3000000</v>
      </c>
      <c r="H16" s="29">
        <v>45000000</v>
      </c>
      <c r="I16" s="29">
        <v>2000000</v>
      </c>
      <c r="J16" s="30">
        <v>1</v>
      </c>
      <c r="K16" s="30">
        <v>3</v>
      </c>
      <c r="L16" s="30">
        <v>7</v>
      </c>
      <c r="M16" s="31">
        <v>0.045</v>
      </c>
      <c r="N16" s="29">
        <v>600000000</v>
      </c>
      <c r="O16" s="32"/>
      <c r="P16" s="33">
        <f>G16+I16</f>
        <v>5000000</v>
      </c>
      <c r="Q16" s="33">
        <f>P16/D16</f>
        <v>5000000.0</v>
      </c>
      <c r="R16" s="34">
        <f>ROUND(G16/D16/H16,3)</f>
        <v>0.067</v>
      </c>
      <c r="S16" s="33">
        <f>IF(ISNUMBER($O16),ROUND(($O16*$P16)/IF(ABS($O16*$P16)&lt;1000000,10000,100000),0)*IF(ABS($O16*$P16)&lt;1000000,10000,100000),ROUND(($M16*IF(ISNUMBER(CapTarget),MIN($N16,CapTarget),$N16))/IF(ABS($M16*IF(ISNUMBER(CapTarget),MIN($N16,CapTarget),$N16))&lt;1000000,10000,100000),0)*IF(ABS($M16*IF(ISNUMBER(CapTarget),MIN($N16,CapTarget),$N16))&lt;1000000,10000,100000))</f>
        <v>27000000</v>
      </c>
      <c r="T16" s="33">
        <f>IF(ISNUMBER($O16),ROUND(($O16*$P16)/IF(ABS($O16*$P16)&lt;1000000,10000,100000),0)*IF(ABS($O16*$P16)&lt;1000000,10000,100000),ROUND(($M16*IF(ISNUMBER(CapBase),MIN($N16,CapBase),$N16))/IF(ABS($M16*IF(ISNUMBER(CapBase),MIN($N16,CapBase),$N16))&lt;1000000,10000,100000),0)*IF(ABS($M16*IF(ISNUMBER(CapBase),MIN($N16,CapBase),$N16))&lt;1000000,10000,100000))</f>
        <v>22500000</v>
      </c>
      <c r="U16" s="33">
        <f>IF(ISNUMBER($O16),ROUND(($O16*$P16)/IF(ABS($O16*$P16)&lt;1000000,10000,100000),0)*IF(ABS($O16*$P16)&lt;1000000,10000,100000),ROUND(($M16*IF(ISNUMBER(CapStress),MIN($N16,CapStress),$N16))/IF(ABS($M16*IF(ISNUMBER(CapStress),MIN($N16,CapStress),$N16))&lt;1000000,10000,100000),0)*IF(ABS($M16*IF(ISNUMBER(CapStress),MIN($N16,CapStress),$N16))&lt;1000000,10000,100000))</f>
        <v>11300000</v>
      </c>
      <c r="V16" s="35">
        <f>ROUND(S16/$P16,1)</f>
        <v>5.4</v>
      </c>
      <c r="W16" s="35">
        <f>ROUND(T16/$P16,1)</f>
        <v>4.5</v>
      </c>
      <c r="X16" s="35">
        <f>ROUND(U16/$P16,1)</f>
        <v>2.3</v>
      </c>
      <c r="Y16" s="36">
        <f>IF(AND(OR($C16=SecCo1,$C16=SecCo2),$L16&gt;SecYear,S16&lt;&gt;0),ROUND((SecShare*SecPrice*S16)/IF(ABS(SecShare*SecPrice*S16)&lt;1000000,10000,100000),0)*IF(ABS(SecShare*SecPrice*S16)&lt;1000000,10000,100000),0)</f>
        <v>0</v>
      </c>
      <c r="Z16" s="36">
        <f>IF(AND(OR($C16=SecCo1,$C16=SecCo2),$L16&gt;SecYear,S16&lt;&gt;0),ROUND(((1-SecShare)*S16)/IF(ABS((1-SecShare)*S16)&lt;1000000,10000,100000),0)*IF(ABS((1-SecShare)*S16)&lt;1000000,10000,100000),S16)</f>
        <v>27000000</v>
      </c>
      <c r="AA16" s="36">
        <f>IF(AND(OR($C16=SecCo1,$C16=SecCo2),$L16&gt;SecYear,S16&lt;&gt;0),SecShare*$P16,0)</f>
        <v>0.0</v>
      </c>
      <c r="AB16" s="36">
        <f>$P16-AA16</f>
        <v>5000000.0</v>
      </c>
      <c r="AC16" s="36">
        <f>IF(AND(OR($C16=SecCo1,$C16=SecCo2),$L16&gt;SecYear,T16&lt;&gt;0),ROUND((SecShare*SecPrice*T16)/IF(ABS(SecShare*SecPrice*T16)&lt;1000000,10000,100000),0)*IF(ABS(SecShare*SecPrice*T16)&lt;1000000,10000,100000),0)</f>
        <v>0</v>
      </c>
      <c r="AD16" s="36">
        <f>IF(AND(OR($C16=SecCo1,$C16=SecCo2),$L16&gt;SecYear,T16&lt;&gt;0),ROUND(((1-SecShare)*T16)/IF(ABS((1-SecShare)*T16)&lt;1000000,10000,100000),0)*IF(ABS((1-SecShare)*T16)&lt;1000000,10000,100000),T16)</f>
        <v>22500000</v>
      </c>
      <c r="AE16" s="36">
        <f>IF(AND(OR($C16=SecCo1,$C16=SecCo2),$L16&gt;SecYear,T16&lt;&gt;0),SecShare*$P16,0)</f>
        <v>0.0</v>
      </c>
      <c r="AF16" s="36">
        <f>$P16-AE16</f>
        <v>5000000.0</v>
      </c>
      <c r="AG16" s="36">
        <f>IF(AND(OR($C16=SecCo1,$C16=SecCo2),$L16&gt;SecYear,U16&lt;&gt;0),ROUND((SecShare*SecPrice*U16)/IF(ABS(SecShare*SecPrice*U16)&lt;1000000,10000,100000),0)*IF(ABS(SecShare*SecPrice*U16)&lt;1000000,10000,100000),0)</f>
        <v>0</v>
      </c>
      <c r="AH16" s="36">
        <f>IF(AND(OR($C16=SecCo1,$C16=SecCo2),$L16&gt;SecYear,U16&lt;&gt;0),ROUND(((1-SecShare)*U16)/IF(ABS((1-SecShare)*U16)&lt;1000000,10000,100000),0)*IF(ABS((1-SecShare)*U16)&lt;1000000,10000,100000),U16)</f>
        <v>11300000</v>
      </c>
      <c r="AI16" s="36">
        <f>IF(AND(OR($C16=SecCo1,$C16=SecCo2),$L16&gt;SecYear,U16&lt;&gt;0),SecShare*$P16,0)</f>
        <v>0.0</v>
      </c>
      <c r="AJ16" s="36">
        <f>$P16-AI16</f>
        <v>5000000.0</v>
      </c>
    </row>
    <row r="17" spans="1:36">
      <c r="A17" s="11" t="s">
        <v>151</v>
      </c>
      <c r="B17" s="27" t="s">
        <v>76</v>
      </c>
      <c r="C17" s="27" t="s">
        <v>151</v>
      </c>
      <c r="D17" s="28">
        <v>1</v>
      </c>
      <c r="E17" s="27" t="s">
        <v>150</v>
      </c>
      <c r="F17" s="27" t="s">
        <v>133</v>
      </c>
      <c r="G17" s="29">
        <v>3000000</v>
      </c>
      <c r="H17" s="29">
        <v>40000000</v>
      </c>
      <c r="I17" s="29">
        <v>1500000</v>
      </c>
      <c r="J17" s="30">
        <v>2</v>
      </c>
      <c r="K17" s="30">
        <v>4</v>
      </c>
      <c r="L17" s="30">
        <v>6</v>
      </c>
      <c r="M17" s="31">
        <v>0.045</v>
      </c>
      <c r="N17" s="29">
        <v>400000000</v>
      </c>
      <c r="O17" s="32"/>
      <c r="P17" s="33">
        <f>G17+I17</f>
        <v>4500000</v>
      </c>
      <c r="Q17" s="33">
        <f>P17/D17</f>
        <v>4500000.0</v>
      </c>
      <c r="R17" s="34">
        <f>ROUND(G17/D17/H17,3)</f>
        <v>0.075</v>
      </c>
      <c r="S17" s="33">
        <f>IF(ISNUMBER($O17),ROUND(($O17*$P17)/IF(ABS($O17*$P17)&lt;1000000,10000,100000),0)*IF(ABS($O17*$P17)&lt;1000000,10000,100000),ROUND(($M17*IF(ISNUMBER(CapTarget),MIN($N17,CapTarget),$N17))/IF(ABS($M17*IF(ISNUMBER(CapTarget),MIN($N17,CapTarget),$N17))&lt;1000000,10000,100000),0)*IF(ABS($M17*IF(ISNUMBER(CapTarget),MIN($N17,CapTarget),$N17))&lt;1000000,10000,100000))</f>
        <v>18000000</v>
      </c>
      <c r="T17" s="33">
        <f>IF(ISNUMBER($O17),ROUND(($O17*$P17)/IF(ABS($O17*$P17)&lt;1000000,10000,100000),0)*IF(ABS($O17*$P17)&lt;1000000,10000,100000),ROUND(($M17*IF(ISNUMBER(CapBase),MIN($N17,CapBase),$N17))/IF(ABS($M17*IF(ISNUMBER(CapBase),MIN($N17,CapBase),$N17))&lt;1000000,10000,100000),0)*IF(ABS($M17*IF(ISNUMBER(CapBase),MIN($N17,CapBase),$N17))&lt;1000000,10000,100000))</f>
        <v>18000000</v>
      </c>
      <c r="U17" s="33">
        <f>IF(ISNUMBER($O17),ROUND(($O17*$P17)/IF(ABS($O17*$P17)&lt;1000000,10000,100000),0)*IF(ABS($O17*$P17)&lt;1000000,10000,100000),ROUND(($M17*IF(ISNUMBER(CapStress),MIN($N17,CapStress),$N17))/IF(ABS($M17*IF(ISNUMBER(CapStress),MIN($N17,CapStress),$N17))&lt;1000000,10000,100000),0)*IF(ABS($M17*IF(ISNUMBER(CapStress),MIN($N17,CapStress),$N17))&lt;1000000,10000,100000))</f>
        <v>11300000</v>
      </c>
      <c r="V17" s="35">
        <f>ROUND(S17/$P17,1)</f>
        <v>4.0</v>
      </c>
      <c r="W17" s="35">
        <f>ROUND(T17/$P17,1)</f>
        <v>4.0</v>
      </c>
      <c r="X17" s="35">
        <f>ROUND(U17/$P17,1)</f>
        <v>2.5</v>
      </c>
      <c r="Y17" s="36">
        <f>IF(AND(OR($C17=SecCo1,$C17=SecCo2),$L17&gt;SecYear,S17&lt;&gt;0),ROUND((SecShare*SecPrice*S17)/IF(ABS(SecShare*SecPrice*S17)&lt;1000000,10000,100000),0)*IF(ABS(SecShare*SecPrice*S17)&lt;1000000,10000,100000),0)</f>
        <v>0</v>
      </c>
      <c r="Z17" s="36">
        <f>IF(AND(OR($C17=SecCo1,$C17=SecCo2),$L17&gt;SecYear,S17&lt;&gt;0),ROUND(((1-SecShare)*S17)/IF(ABS((1-SecShare)*S17)&lt;1000000,10000,100000),0)*IF(ABS((1-SecShare)*S17)&lt;1000000,10000,100000),S17)</f>
        <v>18000000</v>
      </c>
      <c r="AA17" s="36">
        <f>IF(AND(OR($C17=SecCo1,$C17=SecCo2),$L17&gt;SecYear,S17&lt;&gt;0),SecShare*$P17,0)</f>
        <v>0.0</v>
      </c>
      <c r="AB17" s="36">
        <f>$P17-AA17</f>
        <v>4500000.0</v>
      </c>
      <c r="AC17" s="36">
        <f>IF(AND(OR($C17=SecCo1,$C17=SecCo2),$L17&gt;SecYear,T17&lt;&gt;0),ROUND((SecShare*SecPrice*T17)/IF(ABS(SecShare*SecPrice*T17)&lt;1000000,10000,100000),0)*IF(ABS(SecShare*SecPrice*T17)&lt;1000000,10000,100000),0)</f>
        <v>0</v>
      </c>
      <c r="AD17" s="36">
        <f>IF(AND(OR($C17=SecCo1,$C17=SecCo2),$L17&gt;SecYear,T17&lt;&gt;0),ROUND(((1-SecShare)*T17)/IF(ABS((1-SecShare)*T17)&lt;1000000,10000,100000),0)*IF(ABS((1-SecShare)*T17)&lt;1000000,10000,100000),T17)</f>
        <v>18000000</v>
      </c>
      <c r="AE17" s="36">
        <f>IF(AND(OR($C17=SecCo1,$C17=SecCo2),$L17&gt;SecYear,T17&lt;&gt;0),SecShare*$P17,0)</f>
        <v>0.0</v>
      </c>
      <c r="AF17" s="36">
        <f>$P17-AE17</f>
        <v>4500000.0</v>
      </c>
      <c r="AG17" s="36">
        <f>IF(AND(OR($C17=SecCo1,$C17=SecCo2),$L17&gt;SecYear,U17&lt;&gt;0),ROUND((SecShare*SecPrice*U17)/IF(ABS(SecShare*SecPrice*U17)&lt;1000000,10000,100000),0)*IF(ABS(SecShare*SecPrice*U17)&lt;1000000,10000,100000),0)</f>
        <v>0</v>
      </c>
      <c r="AH17" s="36">
        <f>IF(AND(OR($C17=SecCo1,$C17=SecCo2),$L17&gt;SecYear,U17&lt;&gt;0),ROUND(((1-SecShare)*U17)/IF(ABS((1-SecShare)*U17)&lt;1000000,10000,100000),0)*IF(ABS((1-SecShare)*U17)&lt;1000000,10000,100000),U17)</f>
        <v>11300000</v>
      </c>
      <c r="AI17" s="36">
        <f>IF(AND(OR($C17=SecCo1,$C17=SecCo2),$L17&gt;SecYear,U17&lt;&gt;0),SecShare*$P17,0)</f>
        <v>0.0</v>
      </c>
      <c r="AJ17" s="36">
        <f>$P17-AI17</f>
        <v>4500000.0</v>
      </c>
    </row>
    <row r="18" spans="1:36">
      <c r="A18" s="11" t="s">
        <v>152</v>
      </c>
      <c r="B18" s="27" t="s">
        <v>76</v>
      </c>
      <c r="C18" s="27" t="s">
        <v>152</v>
      </c>
      <c r="D18" s="28">
        <v>1</v>
      </c>
      <c r="E18" s="27" t="s">
        <v>153</v>
      </c>
      <c r="F18" s="27" t="s">
        <v>133</v>
      </c>
      <c r="G18" s="29">
        <v>3000000</v>
      </c>
      <c r="H18" s="29">
        <v>45000000</v>
      </c>
      <c r="I18" s="29">
        <v>1000000</v>
      </c>
      <c r="J18" s="30">
        <v>2</v>
      </c>
      <c r="K18" s="30">
        <v>4</v>
      </c>
      <c r="L18" s="30">
        <v>6</v>
      </c>
      <c r="M18" s="31">
        <v>0.04</v>
      </c>
      <c r="N18" s="29">
        <v>250000000</v>
      </c>
      <c r="O18" s="32"/>
      <c r="P18" s="33">
        <f>G18+I18</f>
        <v>4000000</v>
      </c>
      <c r="Q18" s="33">
        <f>P18/D18</f>
        <v>4000000.0</v>
      </c>
      <c r="R18" s="34">
        <f>ROUND(G18/D18/H18,3)</f>
        <v>0.067</v>
      </c>
      <c r="S18" s="33">
        <f>IF(ISNUMBER($O18),ROUND(($O18*$P18)/IF(ABS($O18*$P18)&lt;1000000,10000,100000),0)*IF(ABS($O18*$P18)&lt;1000000,10000,100000),ROUND(($M18*IF(ISNUMBER(CapTarget),MIN($N18,CapTarget),$N18))/IF(ABS($M18*IF(ISNUMBER(CapTarget),MIN($N18,CapTarget),$N18))&lt;1000000,10000,100000),0)*IF(ABS($M18*IF(ISNUMBER(CapTarget),MIN($N18,CapTarget),$N18))&lt;1000000,10000,100000))</f>
        <v>10000000</v>
      </c>
      <c r="T18" s="33">
        <f>IF(ISNUMBER($O18),ROUND(($O18*$P18)/IF(ABS($O18*$P18)&lt;1000000,10000,100000),0)*IF(ABS($O18*$P18)&lt;1000000,10000,100000),ROUND(($M18*IF(ISNUMBER(CapBase),MIN($N18,CapBase),$N18))/IF(ABS($M18*IF(ISNUMBER(CapBase),MIN($N18,CapBase),$N18))&lt;1000000,10000,100000),0)*IF(ABS($M18*IF(ISNUMBER(CapBase),MIN($N18,CapBase),$N18))&lt;1000000,10000,100000))</f>
        <v>10000000</v>
      </c>
      <c r="U18" s="33">
        <f>IF(ISNUMBER($O18),ROUND(($O18*$P18)/IF(ABS($O18*$P18)&lt;1000000,10000,100000),0)*IF(ABS($O18*$P18)&lt;1000000,10000,100000),ROUND(($M18*IF(ISNUMBER(CapStress),MIN($N18,CapStress),$N18))/IF(ABS($M18*IF(ISNUMBER(CapStress),MIN($N18,CapStress),$N18))&lt;1000000,10000,100000),0)*IF(ABS($M18*IF(ISNUMBER(CapStress),MIN($N18,CapStress),$N18))&lt;1000000,10000,100000))</f>
        <v>10000000</v>
      </c>
      <c r="V18" s="35">
        <f>ROUND(S18/$P18,1)</f>
        <v>2.5</v>
      </c>
      <c r="W18" s="35">
        <f>ROUND(T18/$P18,1)</f>
        <v>2.5</v>
      </c>
      <c r="X18" s="35">
        <f>ROUND(U18/$P18,1)</f>
        <v>2.5</v>
      </c>
      <c r="Y18" s="36">
        <f>IF(AND(OR($C18=SecCo1,$C18=SecCo2),$L18&gt;SecYear,S18&lt;&gt;0),ROUND((SecShare*SecPrice*S18)/IF(ABS(SecShare*SecPrice*S18)&lt;1000000,10000,100000),0)*IF(ABS(SecShare*SecPrice*S18)&lt;1000000,10000,100000),0)</f>
        <v>0</v>
      </c>
      <c r="Z18" s="36">
        <f>IF(AND(OR($C18=SecCo1,$C18=SecCo2),$L18&gt;SecYear,S18&lt;&gt;0),ROUND(((1-SecShare)*S18)/IF(ABS((1-SecShare)*S18)&lt;1000000,10000,100000),0)*IF(ABS((1-SecShare)*S18)&lt;1000000,10000,100000),S18)</f>
        <v>10000000</v>
      </c>
      <c r="AA18" s="36">
        <f>IF(AND(OR($C18=SecCo1,$C18=SecCo2),$L18&gt;SecYear,S18&lt;&gt;0),SecShare*$P18,0)</f>
        <v>0.0</v>
      </c>
      <c r="AB18" s="36">
        <f>$P18-AA18</f>
        <v>4000000.0</v>
      </c>
      <c r="AC18" s="36">
        <f>IF(AND(OR($C18=SecCo1,$C18=SecCo2),$L18&gt;SecYear,T18&lt;&gt;0),ROUND((SecShare*SecPrice*T18)/IF(ABS(SecShare*SecPrice*T18)&lt;1000000,10000,100000),0)*IF(ABS(SecShare*SecPrice*T18)&lt;1000000,10000,100000),0)</f>
        <v>0</v>
      </c>
      <c r="AD18" s="36">
        <f>IF(AND(OR($C18=SecCo1,$C18=SecCo2),$L18&gt;SecYear,T18&lt;&gt;0),ROUND(((1-SecShare)*T18)/IF(ABS((1-SecShare)*T18)&lt;1000000,10000,100000),0)*IF(ABS((1-SecShare)*T18)&lt;1000000,10000,100000),T18)</f>
        <v>10000000</v>
      </c>
      <c r="AE18" s="36">
        <f>IF(AND(OR($C18=SecCo1,$C18=SecCo2),$L18&gt;SecYear,T18&lt;&gt;0),SecShare*$P18,0)</f>
        <v>0.0</v>
      </c>
      <c r="AF18" s="36">
        <f>$P18-AE18</f>
        <v>4000000.0</v>
      </c>
      <c r="AG18" s="36">
        <f>IF(AND(OR($C18=SecCo1,$C18=SecCo2),$L18&gt;SecYear,U18&lt;&gt;0),ROUND((SecShare*SecPrice*U18)/IF(ABS(SecShare*SecPrice*U18)&lt;1000000,10000,100000),0)*IF(ABS(SecShare*SecPrice*U18)&lt;1000000,10000,100000),0)</f>
        <v>0</v>
      </c>
      <c r="AH18" s="36">
        <f>IF(AND(OR($C18=SecCo1,$C18=SecCo2),$L18&gt;SecYear,U18&lt;&gt;0),ROUND(((1-SecShare)*U18)/IF(ABS((1-SecShare)*U18)&lt;1000000,10000,100000),0)*IF(ABS((1-SecShare)*U18)&lt;1000000,10000,100000),U18)</f>
        <v>10000000</v>
      </c>
      <c r="AI18" s="36">
        <f>IF(AND(OR($C18=SecCo1,$C18=SecCo2),$L18&gt;SecYear,U18&lt;&gt;0),SecShare*$P18,0)</f>
        <v>0.0</v>
      </c>
      <c r="AJ18" s="36">
        <f>$P18-AI18</f>
        <v>4000000.0</v>
      </c>
    </row>
    <row r="19" spans="1:36">
      <c r="A19" s="11" t="s">
        <v>154</v>
      </c>
      <c r="B19" s="27" t="s">
        <v>76</v>
      </c>
      <c r="C19" s="27" t="s">
        <v>155</v>
      </c>
      <c r="D19" s="28">
        <v>2</v>
      </c>
      <c r="E19" s="27" t="s">
        <v>156</v>
      </c>
      <c r="F19" s="27" t="s">
        <v>133</v>
      </c>
      <c r="G19" s="29">
        <v>6000000</v>
      </c>
      <c r="H19" s="29">
        <v>40000000</v>
      </c>
      <c r="I19" s="29">
        <v>1500000</v>
      </c>
      <c r="J19" s="30">
        <v>3</v>
      </c>
      <c r="K19" s="30">
        <v>4</v>
      </c>
      <c r="L19" s="30">
        <v>7</v>
      </c>
      <c r="M19" s="31"/>
      <c r="N19" s="29"/>
      <c r="O19" s="32">
        <v>0.4</v>
      </c>
      <c r="P19" s="33">
        <f>G19+I19</f>
        <v>7500000</v>
      </c>
      <c r="Q19" s="33">
        <f>P19/D19</f>
        <v>3750000.0</v>
      </c>
      <c r="R19" s="34">
        <f>ROUND(G19/D19/H19,3)</f>
        <v>0.075</v>
      </c>
      <c r="S19" s="33">
        <f>IF(ISNUMBER($O19),ROUND(($O19*$P19)/IF(ABS($O19*$P19)&lt;1000000,10000,100000),0)*IF(ABS($O19*$P19)&lt;1000000,10000,100000),ROUND(($M19*IF(ISNUMBER(CapTarget),MIN($N19,CapTarget),$N19))/IF(ABS($M19*IF(ISNUMBER(CapTarget),MIN($N19,CapTarget),$N19))&lt;1000000,10000,100000),0)*IF(ABS($M19*IF(ISNUMBER(CapTarget),MIN($N19,CapTarget),$N19))&lt;1000000,10000,100000))</f>
        <v>3000000</v>
      </c>
      <c r="T19" s="33">
        <f>IF(ISNUMBER($O19),ROUND(($O19*$P19)/IF(ABS($O19*$P19)&lt;1000000,10000,100000),0)*IF(ABS($O19*$P19)&lt;1000000,10000,100000),ROUND(($M19*IF(ISNUMBER(CapBase),MIN($N19,CapBase),$N19))/IF(ABS($M19*IF(ISNUMBER(CapBase),MIN($N19,CapBase),$N19))&lt;1000000,10000,100000),0)*IF(ABS($M19*IF(ISNUMBER(CapBase),MIN($N19,CapBase),$N19))&lt;1000000,10000,100000))</f>
        <v>3000000</v>
      </c>
      <c r="U19" s="33">
        <f>IF(ISNUMBER($O19),ROUND(($O19*$P19)/IF(ABS($O19*$P19)&lt;1000000,10000,100000),0)*IF(ABS($O19*$P19)&lt;1000000,10000,100000),ROUND(($M19*IF(ISNUMBER(CapStress),MIN($N19,CapStress),$N19))/IF(ABS($M19*IF(ISNUMBER(CapStress),MIN($N19,CapStress),$N19))&lt;1000000,10000,100000),0)*IF(ABS($M19*IF(ISNUMBER(CapStress),MIN($N19,CapStress),$N19))&lt;1000000,10000,100000))</f>
        <v>3000000</v>
      </c>
      <c r="V19" s="35">
        <f>ROUND(S19/$P19,1)</f>
        <v>0.4</v>
      </c>
      <c r="W19" s="35">
        <f>ROUND(T19/$P19,1)</f>
        <v>0.4</v>
      </c>
      <c r="X19" s="35">
        <f>ROUND(U19/$P19,1)</f>
        <v>0.4</v>
      </c>
      <c r="Y19" s="36">
        <f>IF(AND(OR($C19=SecCo1,$C19=SecCo2),$L19&gt;SecYear,S19&lt;&gt;0),ROUND((SecShare*SecPrice*S19)/IF(ABS(SecShare*SecPrice*S19)&lt;1000000,10000,100000),0)*IF(ABS(SecShare*SecPrice*S19)&lt;1000000,10000,100000),0)</f>
        <v>0</v>
      </c>
      <c r="Z19" s="36">
        <f>IF(AND(OR($C19=SecCo1,$C19=SecCo2),$L19&gt;SecYear,S19&lt;&gt;0),ROUND(((1-SecShare)*S19)/IF(ABS((1-SecShare)*S19)&lt;1000000,10000,100000),0)*IF(ABS((1-SecShare)*S19)&lt;1000000,10000,100000),S19)</f>
        <v>3000000</v>
      </c>
      <c r="AA19" s="36">
        <f>IF(AND(OR($C19=SecCo1,$C19=SecCo2),$L19&gt;SecYear,S19&lt;&gt;0),SecShare*$P19,0)</f>
        <v>0.0</v>
      </c>
      <c r="AB19" s="36">
        <f>$P19-AA19</f>
        <v>7500000.0</v>
      </c>
      <c r="AC19" s="36">
        <f>IF(AND(OR($C19=SecCo1,$C19=SecCo2),$L19&gt;SecYear,T19&lt;&gt;0),ROUND((SecShare*SecPrice*T19)/IF(ABS(SecShare*SecPrice*T19)&lt;1000000,10000,100000),0)*IF(ABS(SecShare*SecPrice*T19)&lt;1000000,10000,100000),0)</f>
        <v>0</v>
      </c>
      <c r="AD19" s="36">
        <f>IF(AND(OR($C19=SecCo1,$C19=SecCo2),$L19&gt;SecYear,T19&lt;&gt;0),ROUND(((1-SecShare)*T19)/IF(ABS((1-SecShare)*T19)&lt;1000000,10000,100000),0)*IF(ABS((1-SecShare)*T19)&lt;1000000,10000,100000),T19)</f>
        <v>3000000</v>
      </c>
      <c r="AE19" s="36">
        <f>IF(AND(OR($C19=SecCo1,$C19=SecCo2),$L19&gt;SecYear,T19&lt;&gt;0),SecShare*$P19,0)</f>
        <v>0.0</v>
      </c>
      <c r="AF19" s="36">
        <f>$P19-AE19</f>
        <v>7500000.0</v>
      </c>
      <c r="AG19" s="36">
        <f>IF(AND(OR($C19=SecCo1,$C19=SecCo2),$L19&gt;SecYear,U19&lt;&gt;0),ROUND((SecShare*SecPrice*U19)/IF(ABS(SecShare*SecPrice*U19)&lt;1000000,10000,100000),0)*IF(ABS(SecShare*SecPrice*U19)&lt;1000000,10000,100000),0)</f>
        <v>0</v>
      </c>
      <c r="AH19" s="36">
        <f>IF(AND(OR($C19=SecCo1,$C19=SecCo2),$L19&gt;SecYear,U19&lt;&gt;0),ROUND(((1-SecShare)*U19)/IF(ABS((1-SecShare)*U19)&lt;1000000,10000,100000),0)*IF(ABS((1-SecShare)*U19)&lt;1000000,10000,100000),U19)</f>
        <v>3000000</v>
      </c>
      <c r="AI19" s="36">
        <f>IF(AND(OR($C19=SecCo1,$C19=SecCo2),$L19&gt;SecYear,U19&lt;&gt;0),SecShare*$P19,0)</f>
        <v>0.0</v>
      </c>
      <c r="AJ19" s="36">
        <f>$P19-AI19</f>
        <v>7500000.0</v>
      </c>
    </row>
    <row r="20" spans="1:36">
      <c r="A20" s="11" t="s">
        <v>157</v>
      </c>
      <c r="B20" s="27" t="s">
        <v>76</v>
      </c>
      <c r="C20" s="27" t="s">
        <v>158</v>
      </c>
      <c r="D20" s="28">
        <v>2</v>
      </c>
      <c r="E20" s="27" t="s">
        <v>159</v>
      </c>
      <c r="F20" s="27" t="s">
        <v>133</v>
      </c>
      <c r="G20" s="29">
        <v>6000000</v>
      </c>
      <c r="H20" s="29">
        <v>40000000</v>
      </c>
      <c r="I20" s="29">
        <v>2400000</v>
      </c>
      <c r="J20" s="30">
        <v>3</v>
      </c>
      <c r="K20" s="30">
        <v>4</v>
      </c>
      <c r="L20" s="30">
        <v>6</v>
      </c>
      <c r="M20" s="31"/>
      <c r="N20" s="29"/>
      <c r="O20" s="32">
        <v>0</v>
      </c>
      <c r="P20" s="33">
        <f>G20+I20</f>
        <v>8400000</v>
      </c>
      <c r="Q20" s="33">
        <f>P20/D20</f>
        <v>4200000.0</v>
      </c>
      <c r="R20" s="34">
        <f>ROUND(G20/D20/H20,3)</f>
        <v>0.075</v>
      </c>
      <c r="S20" s="33">
        <f>IF(ISNUMBER($O20),ROUND(($O20*$P20)/IF(ABS($O20*$P20)&lt;1000000,10000,100000),0)*IF(ABS($O20*$P20)&lt;1000000,10000,100000),ROUND(($M20*IF(ISNUMBER(CapTarget),MIN($N20,CapTarget),$N20))/IF(ABS($M20*IF(ISNUMBER(CapTarget),MIN($N20,CapTarget),$N20))&lt;1000000,10000,100000),0)*IF(ABS($M20*IF(ISNUMBER(CapTarget),MIN($N20,CapTarget),$N20))&lt;1000000,10000,100000))</f>
        <v>0</v>
      </c>
      <c r="T20" s="33">
        <f>IF(ISNUMBER($O20),ROUND(($O20*$P20)/IF(ABS($O20*$P20)&lt;1000000,10000,100000),0)*IF(ABS($O20*$P20)&lt;1000000,10000,100000),ROUND(($M20*IF(ISNUMBER(CapBase),MIN($N20,CapBase),$N20))/IF(ABS($M20*IF(ISNUMBER(CapBase),MIN($N20,CapBase),$N20))&lt;1000000,10000,100000),0)*IF(ABS($M20*IF(ISNUMBER(CapBase),MIN($N20,CapBase),$N20))&lt;1000000,10000,100000))</f>
        <v>0</v>
      </c>
      <c r="U20" s="33">
        <f>IF(ISNUMBER($O20),ROUND(($O20*$P20)/IF(ABS($O20*$P20)&lt;1000000,10000,100000),0)*IF(ABS($O20*$P20)&lt;1000000,10000,100000),ROUND(($M20*IF(ISNUMBER(CapStress),MIN($N20,CapStress),$N20))/IF(ABS($M20*IF(ISNUMBER(CapStress),MIN($N20,CapStress),$N20))&lt;1000000,10000,100000),0)*IF(ABS($M20*IF(ISNUMBER(CapStress),MIN($N20,CapStress),$N20))&lt;1000000,10000,100000))</f>
        <v>0</v>
      </c>
      <c r="V20" s="35">
        <f>ROUND(S20/$P20,1)</f>
        <v>0.0</v>
      </c>
      <c r="W20" s="35">
        <f>ROUND(T20/$P20,1)</f>
        <v>0.0</v>
      </c>
      <c r="X20" s="35">
        <f>ROUND(U20/$P20,1)</f>
        <v>0.0</v>
      </c>
      <c r="Y20" s="36">
        <f>IF(AND(OR($C20=SecCo1,$C20=SecCo2),$L20&gt;SecYear,S20&lt;&gt;0),ROUND((SecShare*SecPrice*S20)/IF(ABS(SecShare*SecPrice*S20)&lt;1000000,10000,100000),0)*IF(ABS(SecShare*SecPrice*S20)&lt;1000000,10000,100000),0)</f>
        <v>0</v>
      </c>
      <c r="Z20" s="36">
        <f>IF(AND(OR($C20=SecCo1,$C20=SecCo2),$L20&gt;SecYear,S20&lt;&gt;0),ROUND(((1-SecShare)*S20)/IF(ABS((1-SecShare)*S20)&lt;1000000,10000,100000),0)*IF(ABS((1-SecShare)*S20)&lt;1000000,10000,100000),S20)</f>
        <v>0</v>
      </c>
      <c r="AA20" s="36">
        <f>IF(AND(OR($C20=SecCo1,$C20=SecCo2),$L20&gt;SecYear,S20&lt;&gt;0),SecShare*$P20,0)</f>
        <v>0.0</v>
      </c>
      <c r="AB20" s="36">
        <f>$P20-AA20</f>
        <v>8400000.0</v>
      </c>
      <c r="AC20" s="36">
        <f>IF(AND(OR($C20=SecCo1,$C20=SecCo2),$L20&gt;SecYear,T20&lt;&gt;0),ROUND((SecShare*SecPrice*T20)/IF(ABS(SecShare*SecPrice*T20)&lt;1000000,10000,100000),0)*IF(ABS(SecShare*SecPrice*T20)&lt;1000000,10000,100000),0)</f>
        <v>0</v>
      </c>
      <c r="AD20" s="36">
        <f>IF(AND(OR($C20=SecCo1,$C20=SecCo2),$L20&gt;SecYear,T20&lt;&gt;0),ROUND(((1-SecShare)*T20)/IF(ABS((1-SecShare)*T20)&lt;1000000,10000,100000),0)*IF(ABS((1-SecShare)*T20)&lt;1000000,10000,100000),T20)</f>
        <v>0</v>
      </c>
      <c r="AE20" s="36">
        <f>IF(AND(OR($C20=SecCo1,$C20=SecCo2),$L20&gt;SecYear,T20&lt;&gt;0),SecShare*$P20,0)</f>
        <v>0.0</v>
      </c>
      <c r="AF20" s="36">
        <f>$P20-AE20</f>
        <v>8400000.0</v>
      </c>
      <c r="AG20" s="36">
        <f>IF(AND(OR($C20=SecCo1,$C20=SecCo2),$L20&gt;SecYear,U20&lt;&gt;0),ROUND((SecShare*SecPrice*U20)/IF(ABS(SecShare*SecPrice*U20)&lt;1000000,10000,100000),0)*IF(ABS(SecShare*SecPrice*U20)&lt;1000000,10000,100000),0)</f>
        <v>0</v>
      </c>
      <c r="AH20" s="36">
        <f>IF(AND(OR($C20=SecCo1,$C20=SecCo2),$L20&gt;SecYear,U20&lt;&gt;0),ROUND(((1-SecShare)*U20)/IF(ABS((1-SecShare)*U20)&lt;1000000,10000,100000),0)*IF(ABS((1-SecShare)*U20)&lt;1000000,10000,100000),U20)</f>
        <v>0</v>
      </c>
      <c r="AI20" s="36">
        <f>IF(AND(OR($C20=SecCo1,$C20=SecCo2),$L20&gt;SecYear,U20&lt;&gt;0),SecShare*$P20,0)</f>
        <v>0.0</v>
      </c>
      <c r="AJ20" s="36">
        <f>$P20-AI20</f>
        <v>8400000.0</v>
      </c>
    </row>
    <row r="21" spans="1:36">
      <c r="A21" s="37" t="s">
        <v>172</v>
      </c>
      <c r="B21" s="37"/>
      <c r="C21" s="37"/>
      <c r="D21" s="37"/>
      <c r="E21" s="37" t="s">
        <v>174</v>
      </c>
      <c r="F21" s="37"/>
      <c r="G21" s="38">
        <f>SUM(G15:G20)</f>
        <v>24000000</v>
      </c>
      <c r="H21" s="37"/>
      <c r="I21" s="38">
        <f>SUM(I15:I20)</f>
        <v>10400000</v>
      </c>
      <c r="J21" s="37"/>
      <c r="K21" s="37"/>
      <c r="L21" s="37"/>
      <c r="M21" s="37"/>
      <c r="N21" s="37"/>
      <c r="O21" s="37"/>
      <c r="P21" s="38">
        <f>SUM(P15:P20)</f>
        <v>34400000</v>
      </c>
      <c r="Q21" s="37"/>
      <c r="R21" s="37"/>
      <c r="S21" s="38">
        <f>SUM(S15:S20)</f>
        <v>112000000</v>
      </c>
      <c r="T21" s="38">
        <f>SUM(T15:T20)</f>
        <v>76000000</v>
      </c>
      <c r="U21" s="38">
        <f>SUM(U15:U20)</f>
        <v>46900000</v>
      </c>
      <c r="V21" s="39">
        <f>ROUND(S21/P21,1)</f>
        <v>3.3</v>
      </c>
      <c r="W21" s="39">
        <f>ROUND(T21/P21,1)</f>
        <v>2.2</v>
      </c>
      <c r="X21" s="39">
        <f>ROUND(U21/P21,1)</f>
        <v>1.4</v>
      </c>
    </row>
    <row r="22" spans="1:36">
      <c r="A22" s="11" t="s">
        <v>160</v>
      </c>
      <c r="B22" s="27" t="s">
        <v>77</v>
      </c>
      <c r="C22" s="27" t="s">
        <v>65</v>
      </c>
      <c r="D22" s="28">
        <v>1</v>
      </c>
      <c r="E22" s="27" t="s">
        <v>161</v>
      </c>
      <c r="F22" s="27" t="s">
        <v>162</v>
      </c>
      <c r="G22" s="29">
        <v>7000000</v>
      </c>
      <c r="H22" s="29">
        <v>250000000</v>
      </c>
      <c r="I22" s="29">
        <v>0</v>
      </c>
      <c r="J22" s="30">
        <v>3</v>
      </c>
      <c r="K22" s="30"/>
      <c r="L22" s="30">
        <v>8</v>
      </c>
      <c r="M22" s="31">
        <v>0.022</v>
      </c>
      <c r="N22" s="29">
        <v>1500000000</v>
      </c>
      <c r="O22" s="32"/>
      <c r="P22" s="33">
        <f>G22+I22</f>
        <v>7000000</v>
      </c>
      <c r="Q22" s="33">
        <f>P22/D22</f>
        <v>7000000.0</v>
      </c>
      <c r="R22" s="34">
        <f>ROUND(G22/D22/H22,3)</f>
        <v>0.028</v>
      </c>
      <c r="S22" s="33">
        <f>IF(ISNUMBER($O22),ROUND(($O22*$P22)/IF(ABS($O22*$P22)&lt;1000000,10000,100000),0)*IF(ABS($O22*$P22)&lt;1000000,10000,100000),ROUND(($M22*IF(ISNUMBER(CapTarget),MIN($N22,CapTarget),$N22))/IF(ABS($M22*IF(ISNUMBER(CapTarget),MIN($N22,CapTarget),$N22))&lt;1000000,10000,100000),0)*IF(ABS($M22*IF(ISNUMBER(CapTarget),MIN($N22,CapTarget),$N22))&lt;1000000,10000,100000))</f>
        <v>33000000</v>
      </c>
      <c r="T22" s="33">
        <f>IF(ISNUMBER($O22),ROUND(($O22*$P22)/IF(ABS($O22*$P22)&lt;1000000,10000,100000),0)*IF(ABS($O22*$P22)&lt;1000000,10000,100000),ROUND(($M22*IF(ISNUMBER(CapBase),MIN($N22,CapBase),$N22))/IF(ABS($M22*IF(ISNUMBER(CapBase),MIN($N22,CapBase),$N22))&lt;1000000,10000,100000),0)*IF(ABS($M22*IF(ISNUMBER(CapBase),MIN($N22,CapBase),$N22))&lt;1000000,10000,100000))</f>
        <v>11000000</v>
      </c>
      <c r="U22" s="33">
        <f>IF(ISNUMBER($O22),ROUND(($O22*$P22)/IF(ABS($O22*$P22)&lt;1000000,10000,100000),0)*IF(ABS($O22*$P22)&lt;1000000,10000,100000),ROUND(($M22*IF(ISNUMBER(CapStress),MIN($N22,CapStress),$N22))/IF(ABS($M22*IF(ISNUMBER(CapStress),MIN($N22,CapStress),$N22))&lt;1000000,10000,100000),0)*IF(ABS($M22*IF(ISNUMBER(CapStress),MIN($N22,CapStress),$N22))&lt;1000000,10000,100000))</f>
        <v>5500000</v>
      </c>
      <c r="V22" s="35">
        <f>ROUND(S22/$P22,1)</f>
        <v>4.7</v>
      </c>
      <c r="W22" s="35">
        <f>ROUND(T22/$P22,1)</f>
        <v>1.6</v>
      </c>
      <c r="X22" s="35">
        <f>ROUND(U22/$P22,1)</f>
        <v>0.8</v>
      </c>
      <c r="Y22" s="36">
        <f>IF(AND(OR($C22=SecCo1,$C22=SecCo2),$L22&gt;SecYear,S22&lt;&gt;0),ROUND((SecShare*SecPrice*S22)/IF(ABS(SecShare*SecPrice*S22)&lt;1000000,10000,100000),0)*IF(ABS(SecShare*SecPrice*S22)&lt;1000000,10000,100000),0)</f>
        <v>5000000</v>
      </c>
      <c r="Z22" s="36">
        <f>IF(AND(OR($C22=SecCo1,$C22=SecCo2),$L22&gt;SecYear,S22&lt;&gt;0),ROUND(((1-SecShare)*S22)/IF(ABS((1-SecShare)*S22)&lt;1000000,10000,100000),0)*IF(ABS((1-SecShare)*S22)&lt;1000000,10000,100000),S22)</f>
        <v>24800000</v>
      </c>
      <c r="AA22" s="36">
        <f>IF(AND(OR($C22=SecCo1,$C22=SecCo2),$L22&gt;SecYear,S22&lt;&gt;0),SecShare*$P22,0)</f>
        <v>1750000.0</v>
      </c>
      <c r="AB22" s="36">
        <f>$P22-AA22</f>
        <v>5250000.0</v>
      </c>
      <c r="AC22" s="36">
        <f>IF(AND(OR($C22=SecCo1,$C22=SecCo2),$L22&gt;SecYear,T22&lt;&gt;0),ROUND((SecShare*SecPrice*T22)/IF(ABS(SecShare*SecPrice*T22)&lt;1000000,10000,100000),0)*IF(ABS(SecShare*SecPrice*T22)&lt;1000000,10000,100000),0)</f>
        <v>1700000</v>
      </c>
      <c r="AD22" s="36">
        <f>IF(AND(OR($C22=SecCo1,$C22=SecCo2),$L22&gt;SecYear,T22&lt;&gt;0),ROUND(((1-SecShare)*T22)/IF(ABS((1-SecShare)*T22)&lt;1000000,10000,100000),0)*IF(ABS((1-SecShare)*T22)&lt;1000000,10000,100000),T22)</f>
        <v>8300000</v>
      </c>
      <c r="AE22" s="36">
        <f>IF(AND(OR($C22=SecCo1,$C22=SecCo2),$L22&gt;SecYear,T22&lt;&gt;0),SecShare*$P22,0)</f>
        <v>1750000.0</v>
      </c>
      <c r="AF22" s="36">
        <f>$P22-AE22</f>
        <v>5250000.0</v>
      </c>
      <c r="AG22" s="36">
        <f>IF(AND(OR($C22=SecCo1,$C22=SecCo2),$L22&gt;SecYear,U22&lt;&gt;0),ROUND((SecShare*SecPrice*U22)/IF(ABS(SecShare*SecPrice*U22)&lt;1000000,10000,100000),0)*IF(ABS(SecShare*SecPrice*U22)&lt;1000000,10000,100000),0)</f>
        <v>830000</v>
      </c>
      <c r="AH22" s="36">
        <f>IF(AND(OR($C22=SecCo1,$C22=SecCo2),$L22&gt;SecYear,U22&lt;&gt;0),ROUND(((1-SecShare)*U22)/IF(ABS((1-SecShare)*U22)&lt;1000000,10000,100000),0)*IF(ABS((1-SecShare)*U22)&lt;1000000,10000,100000),U22)</f>
        <v>4100000</v>
      </c>
      <c r="AI22" s="36">
        <f>IF(AND(OR($C22=SecCo1,$C22=SecCo2),$L22&gt;SecYear,U22&lt;&gt;0),SecShare*$P22,0)</f>
        <v>1750000.0</v>
      </c>
      <c r="AJ22" s="36">
        <f>$P22-AI22</f>
        <v>5250000.0</v>
      </c>
    </row>
    <row r="23" spans="1:36">
      <c r="A23" s="11" t="s">
        <v>163</v>
      </c>
      <c r="B23" s="27" t="s">
        <v>77</v>
      </c>
      <c r="C23" s="27" t="s">
        <v>67</v>
      </c>
      <c r="D23" s="28">
        <v>1</v>
      </c>
      <c r="E23" s="27" t="s">
        <v>164</v>
      </c>
      <c r="F23" s="27" t="s">
        <v>162</v>
      </c>
      <c r="G23" s="29">
        <v>5000000</v>
      </c>
      <c r="H23" s="29">
        <v>400000000</v>
      </c>
      <c r="I23" s="29">
        <v>0</v>
      </c>
      <c r="J23" s="30">
        <v>4</v>
      </c>
      <c r="K23" s="30"/>
      <c r="L23" s="30">
        <v>8</v>
      </c>
      <c r="M23" s="31">
        <v>0.01</v>
      </c>
      <c r="N23" s="29">
        <v>1200000000</v>
      </c>
      <c r="O23" s="32"/>
      <c r="P23" s="33">
        <f>G23+I23</f>
        <v>5000000</v>
      </c>
      <c r="Q23" s="33">
        <f>P23/D23</f>
        <v>5000000.0</v>
      </c>
      <c r="R23" s="34">
        <f>ROUND(G23/D23/H23,3)</f>
        <v>0.013</v>
      </c>
      <c r="S23" s="33">
        <f>IF(ISNUMBER($O23),ROUND(($O23*$P23)/IF(ABS($O23*$P23)&lt;1000000,10000,100000),0)*IF(ABS($O23*$P23)&lt;1000000,10000,100000),ROUND(($M23*IF(ISNUMBER(CapTarget),MIN($N23,CapTarget),$N23))/IF(ABS($M23*IF(ISNUMBER(CapTarget),MIN($N23,CapTarget),$N23))&lt;1000000,10000,100000),0)*IF(ABS($M23*IF(ISNUMBER(CapTarget),MIN($N23,CapTarget),$N23))&lt;1000000,10000,100000))</f>
        <v>12000000</v>
      </c>
      <c r="T23" s="33">
        <f>IF(ISNUMBER($O23),ROUND(($O23*$P23)/IF(ABS($O23*$P23)&lt;1000000,10000,100000),0)*IF(ABS($O23*$P23)&lt;1000000,10000,100000),ROUND(($M23*IF(ISNUMBER(CapBase),MIN($N23,CapBase),$N23))/IF(ABS($M23*IF(ISNUMBER(CapBase),MIN($N23,CapBase),$N23))&lt;1000000,10000,100000),0)*IF(ABS($M23*IF(ISNUMBER(CapBase),MIN($N23,CapBase),$N23))&lt;1000000,10000,100000))</f>
        <v>5000000</v>
      </c>
      <c r="U23" s="33">
        <f>IF(ISNUMBER($O23),ROUND(($O23*$P23)/IF(ABS($O23*$P23)&lt;1000000,10000,100000),0)*IF(ABS($O23*$P23)&lt;1000000,10000,100000),ROUND(($M23*IF(ISNUMBER(CapStress),MIN($N23,CapStress),$N23))/IF(ABS($M23*IF(ISNUMBER(CapStress),MIN($N23,CapStress),$N23))&lt;1000000,10000,100000),0)*IF(ABS($M23*IF(ISNUMBER(CapStress),MIN($N23,CapStress),$N23))&lt;1000000,10000,100000))</f>
        <v>2500000</v>
      </c>
      <c r="V23" s="35">
        <f>ROUND(S23/$P23,1)</f>
        <v>2.4</v>
      </c>
      <c r="W23" s="35">
        <f>ROUND(T23/$P23,1)</f>
        <v>1.0</v>
      </c>
      <c r="X23" s="35">
        <f>ROUND(U23/$P23,1)</f>
        <v>0.5</v>
      </c>
      <c r="Y23" s="36">
        <f>IF(AND(OR($C23=SecCo1,$C23=SecCo2),$L23&gt;SecYear,S23&lt;&gt;0),ROUND((SecShare*SecPrice*S23)/IF(ABS(SecShare*SecPrice*S23)&lt;1000000,10000,100000),0)*IF(ABS(SecShare*SecPrice*S23)&lt;1000000,10000,100000),0)</f>
        <v>1800000</v>
      </c>
      <c r="Z23" s="36">
        <f>IF(AND(OR($C23=SecCo1,$C23=SecCo2),$L23&gt;SecYear,S23&lt;&gt;0),ROUND(((1-SecShare)*S23)/IF(ABS((1-SecShare)*S23)&lt;1000000,10000,100000),0)*IF(ABS((1-SecShare)*S23)&lt;1000000,10000,100000),S23)</f>
        <v>9000000</v>
      </c>
      <c r="AA23" s="36">
        <f>IF(AND(OR($C23=SecCo1,$C23=SecCo2),$L23&gt;SecYear,S23&lt;&gt;0),SecShare*$P23,0)</f>
        <v>1250000.0</v>
      </c>
      <c r="AB23" s="36">
        <f>$P23-AA23</f>
        <v>3750000.0</v>
      </c>
      <c r="AC23" s="36">
        <f>IF(AND(OR($C23=SecCo1,$C23=SecCo2),$L23&gt;SecYear,T23&lt;&gt;0),ROUND((SecShare*SecPrice*T23)/IF(ABS(SecShare*SecPrice*T23)&lt;1000000,10000,100000),0)*IF(ABS(SecShare*SecPrice*T23)&lt;1000000,10000,100000),0)</f>
        <v>750000</v>
      </c>
      <c r="AD23" s="36">
        <f>IF(AND(OR($C23=SecCo1,$C23=SecCo2),$L23&gt;SecYear,T23&lt;&gt;0),ROUND(((1-SecShare)*T23)/IF(ABS((1-SecShare)*T23)&lt;1000000,10000,100000),0)*IF(ABS((1-SecShare)*T23)&lt;1000000,10000,100000),T23)</f>
        <v>3800000</v>
      </c>
      <c r="AE23" s="36">
        <f>IF(AND(OR($C23=SecCo1,$C23=SecCo2),$L23&gt;SecYear,T23&lt;&gt;0),SecShare*$P23,0)</f>
        <v>1250000.0</v>
      </c>
      <c r="AF23" s="36">
        <f>$P23-AE23</f>
        <v>3750000.0</v>
      </c>
      <c r="AG23" s="36">
        <f>IF(AND(OR($C23=SecCo1,$C23=SecCo2),$L23&gt;SecYear,U23&lt;&gt;0),ROUND((SecShare*SecPrice*U23)/IF(ABS(SecShare*SecPrice*U23)&lt;1000000,10000,100000),0)*IF(ABS(SecShare*SecPrice*U23)&lt;1000000,10000,100000),0)</f>
        <v>380000</v>
      </c>
      <c r="AH23" s="36">
        <f>IF(AND(OR($C23=SecCo1,$C23=SecCo2),$L23&gt;SecYear,U23&lt;&gt;0),ROUND(((1-SecShare)*U23)/IF(ABS((1-SecShare)*U23)&lt;1000000,10000,100000),0)*IF(ABS((1-SecShare)*U23)&lt;1000000,10000,100000),U23)</f>
        <v>1900000</v>
      </c>
      <c r="AI23" s="36">
        <f>IF(AND(OR($C23=SecCo1,$C23=SecCo2),$L23&gt;SecYear,U23&lt;&gt;0),SecShare*$P23,0)</f>
        <v>1250000.0</v>
      </c>
      <c r="AJ23" s="36">
        <f>$P23-AI23</f>
        <v>3750000.0</v>
      </c>
    </row>
    <row r="24" spans="1:36">
      <c r="A24" s="11" t="s">
        <v>165</v>
      </c>
      <c r="B24" s="27" t="s">
        <v>77</v>
      </c>
      <c r="C24" s="27" t="s">
        <v>134</v>
      </c>
      <c r="D24" s="28">
        <v>1</v>
      </c>
      <c r="E24" s="27" t="s">
        <v>166</v>
      </c>
      <c r="F24" s="27" t="s">
        <v>162</v>
      </c>
      <c r="G24" s="29">
        <v>5000000</v>
      </c>
      <c r="H24" s="29">
        <v>150000000</v>
      </c>
      <c r="I24" s="29">
        <v>0</v>
      </c>
      <c r="J24" s="30">
        <v>3</v>
      </c>
      <c r="K24" s="30"/>
      <c r="L24" s="30">
        <v>7</v>
      </c>
      <c r="M24" s="31">
        <v>0.028</v>
      </c>
      <c r="N24" s="29">
        <v>600000000</v>
      </c>
      <c r="O24" s="32"/>
      <c r="P24" s="33">
        <f>G24+I24</f>
        <v>5000000</v>
      </c>
      <c r="Q24" s="33">
        <f>P24/D24</f>
        <v>5000000.0</v>
      </c>
      <c r="R24" s="34">
        <f>ROUND(G24/D24/H24,3)</f>
        <v>0.033</v>
      </c>
      <c r="S24" s="33">
        <f>IF(ISNUMBER($O24),ROUND(($O24*$P24)/IF(ABS($O24*$P24)&lt;1000000,10000,100000),0)*IF(ABS($O24*$P24)&lt;1000000,10000,100000),ROUND(($M24*IF(ISNUMBER(CapTarget),MIN($N24,CapTarget),$N24))/IF(ABS($M24*IF(ISNUMBER(CapTarget),MIN($N24,CapTarget),$N24))&lt;1000000,10000,100000),0)*IF(ABS($M24*IF(ISNUMBER(CapTarget),MIN($N24,CapTarget),$N24))&lt;1000000,10000,100000))</f>
        <v>16800000</v>
      </c>
      <c r="T24" s="33">
        <f>IF(ISNUMBER($O24),ROUND(($O24*$P24)/IF(ABS($O24*$P24)&lt;1000000,10000,100000),0)*IF(ABS($O24*$P24)&lt;1000000,10000,100000),ROUND(($M24*IF(ISNUMBER(CapBase),MIN($N24,CapBase),$N24))/IF(ABS($M24*IF(ISNUMBER(CapBase),MIN($N24,CapBase),$N24))&lt;1000000,10000,100000),0)*IF(ABS($M24*IF(ISNUMBER(CapBase),MIN($N24,CapBase),$N24))&lt;1000000,10000,100000))</f>
        <v>14000000</v>
      </c>
      <c r="U24" s="33">
        <f>IF(ISNUMBER($O24),ROUND(($O24*$P24)/IF(ABS($O24*$P24)&lt;1000000,10000,100000),0)*IF(ABS($O24*$P24)&lt;1000000,10000,100000),ROUND(($M24*IF(ISNUMBER(CapStress),MIN($N24,CapStress),$N24))/IF(ABS($M24*IF(ISNUMBER(CapStress),MIN($N24,CapStress),$N24))&lt;1000000,10000,100000),0)*IF(ABS($M24*IF(ISNUMBER(CapStress),MIN($N24,CapStress),$N24))&lt;1000000,10000,100000))</f>
        <v>7000000</v>
      </c>
      <c r="V24" s="35">
        <f>ROUND(S24/$P24,1)</f>
        <v>3.4</v>
      </c>
      <c r="W24" s="35">
        <f>ROUND(T24/$P24,1)</f>
        <v>2.8</v>
      </c>
      <c r="X24" s="35">
        <f>ROUND(U24/$P24,1)</f>
        <v>1.4</v>
      </c>
      <c r="Y24" s="36">
        <f>IF(AND(OR($C24=SecCo1,$C24=SecCo2),$L24&gt;SecYear,S24&lt;&gt;0),ROUND((SecShare*SecPrice*S24)/IF(ABS(SecShare*SecPrice*S24)&lt;1000000,10000,100000),0)*IF(ABS(SecShare*SecPrice*S24)&lt;1000000,10000,100000),0)</f>
        <v>0</v>
      </c>
      <c r="Z24" s="36">
        <f>IF(AND(OR($C24=SecCo1,$C24=SecCo2),$L24&gt;SecYear,S24&lt;&gt;0),ROUND(((1-SecShare)*S24)/IF(ABS((1-SecShare)*S24)&lt;1000000,10000,100000),0)*IF(ABS((1-SecShare)*S24)&lt;1000000,10000,100000),S24)</f>
        <v>16800000</v>
      </c>
      <c r="AA24" s="36">
        <f>IF(AND(OR($C24=SecCo1,$C24=SecCo2),$L24&gt;SecYear,S24&lt;&gt;0),SecShare*$P24,0)</f>
        <v>0.0</v>
      </c>
      <c r="AB24" s="36">
        <f>$P24-AA24</f>
        <v>5000000.0</v>
      </c>
      <c r="AC24" s="36">
        <f>IF(AND(OR($C24=SecCo1,$C24=SecCo2),$L24&gt;SecYear,T24&lt;&gt;0),ROUND((SecShare*SecPrice*T24)/IF(ABS(SecShare*SecPrice*T24)&lt;1000000,10000,100000),0)*IF(ABS(SecShare*SecPrice*T24)&lt;1000000,10000,100000),0)</f>
        <v>0</v>
      </c>
      <c r="AD24" s="36">
        <f>IF(AND(OR($C24=SecCo1,$C24=SecCo2),$L24&gt;SecYear,T24&lt;&gt;0),ROUND(((1-SecShare)*T24)/IF(ABS((1-SecShare)*T24)&lt;1000000,10000,100000),0)*IF(ABS((1-SecShare)*T24)&lt;1000000,10000,100000),T24)</f>
        <v>14000000</v>
      </c>
      <c r="AE24" s="36">
        <f>IF(AND(OR($C24=SecCo1,$C24=SecCo2),$L24&gt;SecYear,T24&lt;&gt;0),SecShare*$P24,0)</f>
        <v>0.0</v>
      </c>
      <c r="AF24" s="36">
        <f>$P24-AE24</f>
        <v>5000000.0</v>
      </c>
      <c r="AG24" s="36">
        <f>IF(AND(OR($C24=SecCo1,$C24=SecCo2),$L24&gt;SecYear,U24&lt;&gt;0),ROUND((SecShare*SecPrice*U24)/IF(ABS(SecShare*SecPrice*U24)&lt;1000000,10000,100000),0)*IF(ABS(SecShare*SecPrice*U24)&lt;1000000,10000,100000),0)</f>
        <v>0</v>
      </c>
      <c r="AH24" s="36">
        <f>IF(AND(OR($C24=SecCo1,$C24=SecCo2),$L24&gt;SecYear,U24&lt;&gt;0),ROUND(((1-SecShare)*U24)/IF(ABS((1-SecShare)*U24)&lt;1000000,10000,100000),0)*IF(ABS((1-SecShare)*U24)&lt;1000000,10000,100000),U24)</f>
        <v>7000000</v>
      </c>
      <c r="AI24" s="36">
        <f>IF(AND(OR($C24=SecCo1,$C24=SecCo2),$L24&gt;SecYear,U24&lt;&gt;0),SecShare*$P24,0)</f>
        <v>0.0</v>
      </c>
      <c r="AJ24" s="36">
        <f>$P24-AI24</f>
        <v>5000000.0</v>
      </c>
    </row>
    <row r="25" spans="1:36">
      <c r="A25" s="11" t="s">
        <v>167</v>
      </c>
      <c r="B25" s="27" t="s">
        <v>77</v>
      </c>
      <c r="C25" s="27" t="s">
        <v>167</v>
      </c>
      <c r="D25" s="28">
        <v>1</v>
      </c>
      <c r="E25" s="27" t="s">
        <v>168</v>
      </c>
      <c r="F25" s="27" t="s">
        <v>133</v>
      </c>
      <c r="G25" s="29">
        <v>6000000</v>
      </c>
      <c r="H25" s="29">
        <v>250000000</v>
      </c>
      <c r="I25" s="29">
        <v>0</v>
      </c>
      <c r="J25" s="30">
        <v>2</v>
      </c>
      <c r="K25" s="30"/>
      <c r="L25" s="30">
        <v>6</v>
      </c>
      <c r="M25" s="31">
        <v>0.021</v>
      </c>
      <c r="N25" s="29">
        <v>1000000000</v>
      </c>
      <c r="O25" s="32"/>
      <c r="P25" s="33">
        <f>G25+I25</f>
        <v>6000000</v>
      </c>
      <c r="Q25" s="33">
        <f>P25/D25</f>
        <v>6000000.0</v>
      </c>
      <c r="R25" s="34">
        <f>ROUND(G25/D25/H25,3)</f>
        <v>0.024</v>
      </c>
      <c r="S25" s="33">
        <f>IF(ISNUMBER($O25),ROUND(($O25*$P25)/IF(ABS($O25*$P25)&lt;1000000,10000,100000),0)*IF(ABS($O25*$P25)&lt;1000000,10000,100000),ROUND(($M25*IF(ISNUMBER(CapTarget),MIN($N25,CapTarget),$N25))/IF(ABS($M25*IF(ISNUMBER(CapTarget),MIN($N25,CapTarget),$N25))&lt;1000000,10000,100000),0)*IF(ABS($M25*IF(ISNUMBER(CapTarget),MIN($N25,CapTarget),$N25))&lt;1000000,10000,100000))</f>
        <v>21000000</v>
      </c>
      <c r="T25" s="33">
        <f>IF(ISNUMBER($O25),ROUND(($O25*$P25)/IF(ABS($O25*$P25)&lt;1000000,10000,100000),0)*IF(ABS($O25*$P25)&lt;1000000,10000,100000),ROUND(($M25*IF(ISNUMBER(CapBase),MIN($N25,CapBase),$N25))/IF(ABS($M25*IF(ISNUMBER(CapBase),MIN($N25,CapBase),$N25))&lt;1000000,10000,100000),0)*IF(ABS($M25*IF(ISNUMBER(CapBase),MIN($N25,CapBase),$N25))&lt;1000000,10000,100000))</f>
        <v>10500000</v>
      </c>
      <c r="U25" s="33">
        <f>IF(ISNUMBER($O25),ROUND(($O25*$P25)/IF(ABS($O25*$P25)&lt;1000000,10000,100000),0)*IF(ABS($O25*$P25)&lt;1000000,10000,100000),ROUND(($M25*IF(ISNUMBER(CapStress),MIN($N25,CapStress),$N25))/IF(ABS($M25*IF(ISNUMBER(CapStress),MIN($N25,CapStress),$N25))&lt;1000000,10000,100000),0)*IF(ABS($M25*IF(ISNUMBER(CapStress),MIN($N25,CapStress),$N25))&lt;1000000,10000,100000))</f>
        <v>5300000</v>
      </c>
      <c r="V25" s="35">
        <f>ROUND(S25/$P25,1)</f>
        <v>3.5</v>
      </c>
      <c r="W25" s="35">
        <f>ROUND(T25/$P25,1)</f>
        <v>1.8</v>
      </c>
      <c r="X25" s="35">
        <f>ROUND(U25/$P25,1)</f>
        <v>0.9</v>
      </c>
      <c r="Y25" s="36">
        <f>IF(AND(OR($C25=SecCo1,$C25=SecCo2),$L25&gt;SecYear,S25&lt;&gt;0),ROUND((SecShare*SecPrice*S25)/IF(ABS(SecShare*SecPrice*S25)&lt;1000000,10000,100000),0)*IF(ABS(SecShare*SecPrice*S25)&lt;1000000,10000,100000),0)</f>
        <v>0</v>
      </c>
      <c r="Z25" s="36">
        <f>IF(AND(OR($C25=SecCo1,$C25=SecCo2),$L25&gt;SecYear,S25&lt;&gt;0),ROUND(((1-SecShare)*S25)/IF(ABS((1-SecShare)*S25)&lt;1000000,10000,100000),0)*IF(ABS((1-SecShare)*S25)&lt;1000000,10000,100000),S25)</f>
        <v>21000000</v>
      </c>
      <c r="AA25" s="36">
        <f>IF(AND(OR($C25=SecCo1,$C25=SecCo2),$L25&gt;SecYear,S25&lt;&gt;0),SecShare*$P25,0)</f>
        <v>0.0</v>
      </c>
      <c r="AB25" s="36">
        <f>$P25-AA25</f>
        <v>6000000.0</v>
      </c>
      <c r="AC25" s="36">
        <f>IF(AND(OR($C25=SecCo1,$C25=SecCo2),$L25&gt;SecYear,T25&lt;&gt;0),ROUND((SecShare*SecPrice*T25)/IF(ABS(SecShare*SecPrice*T25)&lt;1000000,10000,100000),0)*IF(ABS(SecShare*SecPrice*T25)&lt;1000000,10000,100000),0)</f>
        <v>0</v>
      </c>
      <c r="AD25" s="36">
        <f>IF(AND(OR($C25=SecCo1,$C25=SecCo2),$L25&gt;SecYear,T25&lt;&gt;0),ROUND(((1-SecShare)*T25)/IF(ABS((1-SecShare)*T25)&lt;1000000,10000,100000),0)*IF(ABS((1-SecShare)*T25)&lt;1000000,10000,100000),T25)</f>
        <v>10500000</v>
      </c>
      <c r="AE25" s="36">
        <f>IF(AND(OR($C25=SecCo1,$C25=SecCo2),$L25&gt;SecYear,T25&lt;&gt;0),SecShare*$P25,0)</f>
        <v>0.0</v>
      </c>
      <c r="AF25" s="36">
        <f>$P25-AE25</f>
        <v>6000000.0</v>
      </c>
      <c r="AG25" s="36">
        <f>IF(AND(OR($C25=SecCo1,$C25=SecCo2),$L25&gt;SecYear,U25&lt;&gt;0),ROUND((SecShare*SecPrice*U25)/IF(ABS(SecShare*SecPrice*U25)&lt;1000000,10000,100000),0)*IF(ABS(SecShare*SecPrice*U25)&lt;1000000,10000,100000),0)</f>
        <v>0</v>
      </c>
      <c r="AH25" s="36">
        <f>IF(AND(OR($C25=SecCo1,$C25=SecCo2),$L25&gt;SecYear,U25&lt;&gt;0),ROUND(((1-SecShare)*U25)/IF(ABS((1-SecShare)*U25)&lt;1000000,10000,100000),0)*IF(ABS((1-SecShare)*U25)&lt;1000000,10000,100000),U25)</f>
        <v>5300000</v>
      </c>
      <c r="AI25" s="36">
        <f>IF(AND(OR($C25=SecCo1,$C25=SecCo2),$L25&gt;SecYear,U25&lt;&gt;0),SecShare*$P25,0)</f>
        <v>0.0</v>
      </c>
      <c r="AJ25" s="36">
        <f>$P25-AI25</f>
        <v>6000000.0</v>
      </c>
    </row>
    <row r="26" spans="1:36">
      <c r="A26" s="11" t="s">
        <v>169</v>
      </c>
      <c r="B26" s="27" t="s">
        <v>77</v>
      </c>
      <c r="C26" s="27" t="s">
        <v>169</v>
      </c>
      <c r="D26" s="28">
        <v>1</v>
      </c>
      <c r="E26" s="27" t="s">
        <v>168</v>
      </c>
      <c r="F26" s="27" t="s">
        <v>133</v>
      </c>
      <c r="G26" s="29">
        <v>5000000</v>
      </c>
      <c r="H26" s="29">
        <v>250000000</v>
      </c>
      <c r="I26" s="29">
        <v>0</v>
      </c>
      <c r="J26" s="30">
        <v>3</v>
      </c>
      <c r="K26" s="30"/>
      <c r="L26" s="30">
        <v>7</v>
      </c>
      <c r="M26" s="31">
        <v>0.017</v>
      </c>
      <c r="N26" s="29">
        <v>900000000</v>
      </c>
      <c r="O26" s="32"/>
      <c r="P26" s="33">
        <f>G26+I26</f>
        <v>5000000</v>
      </c>
      <c r="Q26" s="33">
        <f>P26/D26</f>
        <v>5000000.0</v>
      </c>
      <c r="R26" s="34">
        <f>ROUND(G26/D26/H26,3)</f>
        <v>0.02</v>
      </c>
      <c r="S26" s="33">
        <f>IF(ISNUMBER($O26),ROUND(($O26*$P26)/IF(ABS($O26*$P26)&lt;1000000,10000,100000),0)*IF(ABS($O26*$P26)&lt;1000000,10000,100000),ROUND(($M26*IF(ISNUMBER(CapTarget),MIN($N26,CapTarget),$N26))/IF(ABS($M26*IF(ISNUMBER(CapTarget),MIN($N26,CapTarget),$N26))&lt;1000000,10000,100000),0)*IF(ABS($M26*IF(ISNUMBER(CapTarget),MIN($N26,CapTarget),$N26))&lt;1000000,10000,100000))</f>
        <v>15300000</v>
      </c>
      <c r="T26" s="33">
        <f>IF(ISNUMBER($O26),ROUND(($O26*$P26)/IF(ABS($O26*$P26)&lt;1000000,10000,100000),0)*IF(ABS($O26*$P26)&lt;1000000,10000,100000),ROUND(($M26*IF(ISNUMBER(CapBase),MIN($N26,CapBase),$N26))/IF(ABS($M26*IF(ISNUMBER(CapBase),MIN($N26,CapBase),$N26))&lt;1000000,10000,100000),0)*IF(ABS($M26*IF(ISNUMBER(CapBase),MIN($N26,CapBase),$N26))&lt;1000000,10000,100000))</f>
        <v>8500000</v>
      </c>
      <c r="U26" s="33">
        <f>IF(ISNUMBER($O26),ROUND(($O26*$P26)/IF(ABS($O26*$P26)&lt;1000000,10000,100000),0)*IF(ABS($O26*$P26)&lt;1000000,10000,100000),ROUND(($M26*IF(ISNUMBER(CapStress),MIN($N26,CapStress),$N26))/IF(ABS($M26*IF(ISNUMBER(CapStress),MIN($N26,CapStress),$N26))&lt;1000000,10000,100000),0)*IF(ABS($M26*IF(ISNUMBER(CapStress),MIN($N26,CapStress),$N26))&lt;1000000,10000,100000))</f>
        <v>4300000</v>
      </c>
      <c r="V26" s="35">
        <f>ROUND(S26/$P26,1)</f>
        <v>3.1</v>
      </c>
      <c r="W26" s="35">
        <f>ROUND(T26/$P26,1)</f>
        <v>1.7</v>
      </c>
      <c r="X26" s="35">
        <f>ROUND(U26/$P26,1)</f>
        <v>0.9</v>
      </c>
      <c r="Y26" s="36">
        <f>IF(AND(OR($C26=SecCo1,$C26=SecCo2),$L26&gt;SecYear,S26&lt;&gt;0),ROUND((SecShare*SecPrice*S26)/IF(ABS(SecShare*SecPrice*S26)&lt;1000000,10000,100000),0)*IF(ABS(SecShare*SecPrice*S26)&lt;1000000,10000,100000),0)</f>
        <v>0</v>
      </c>
      <c r="Z26" s="36">
        <f>IF(AND(OR($C26=SecCo1,$C26=SecCo2),$L26&gt;SecYear,S26&lt;&gt;0),ROUND(((1-SecShare)*S26)/IF(ABS((1-SecShare)*S26)&lt;1000000,10000,100000),0)*IF(ABS((1-SecShare)*S26)&lt;1000000,10000,100000),S26)</f>
        <v>15300000</v>
      </c>
      <c r="AA26" s="36">
        <f>IF(AND(OR($C26=SecCo1,$C26=SecCo2),$L26&gt;SecYear,S26&lt;&gt;0),SecShare*$P26,0)</f>
        <v>0.0</v>
      </c>
      <c r="AB26" s="36">
        <f>$P26-AA26</f>
        <v>5000000.0</v>
      </c>
      <c r="AC26" s="36">
        <f>IF(AND(OR($C26=SecCo1,$C26=SecCo2),$L26&gt;SecYear,T26&lt;&gt;0),ROUND((SecShare*SecPrice*T26)/IF(ABS(SecShare*SecPrice*T26)&lt;1000000,10000,100000),0)*IF(ABS(SecShare*SecPrice*T26)&lt;1000000,10000,100000),0)</f>
        <v>0</v>
      </c>
      <c r="AD26" s="36">
        <f>IF(AND(OR($C26=SecCo1,$C26=SecCo2),$L26&gt;SecYear,T26&lt;&gt;0),ROUND(((1-SecShare)*T26)/IF(ABS((1-SecShare)*T26)&lt;1000000,10000,100000),0)*IF(ABS((1-SecShare)*T26)&lt;1000000,10000,100000),T26)</f>
        <v>8500000</v>
      </c>
      <c r="AE26" s="36">
        <f>IF(AND(OR($C26=SecCo1,$C26=SecCo2),$L26&gt;SecYear,T26&lt;&gt;0),SecShare*$P26,0)</f>
        <v>0.0</v>
      </c>
      <c r="AF26" s="36">
        <f>$P26-AE26</f>
        <v>5000000.0</v>
      </c>
      <c r="AG26" s="36">
        <f>IF(AND(OR($C26=SecCo1,$C26=SecCo2),$L26&gt;SecYear,U26&lt;&gt;0),ROUND((SecShare*SecPrice*U26)/IF(ABS(SecShare*SecPrice*U26)&lt;1000000,10000,100000),0)*IF(ABS(SecShare*SecPrice*U26)&lt;1000000,10000,100000),0)</f>
        <v>0</v>
      </c>
      <c r="AH26" s="36">
        <f>IF(AND(OR($C26=SecCo1,$C26=SecCo2),$L26&gt;SecYear,U26&lt;&gt;0),ROUND(((1-SecShare)*U26)/IF(ABS((1-SecShare)*U26)&lt;1000000,10000,100000),0)*IF(ABS((1-SecShare)*U26)&lt;1000000,10000,100000),U26)</f>
        <v>4300000</v>
      </c>
      <c r="AI26" s="36">
        <f>IF(AND(OR($C26=SecCo1,$C26=SecCo2),$L26&gt;SecYear,U26&lt;&gt;0),SecShare*$P26,0)</f>
        <v>0.0</v>
      </c>
      <c r="AJ26" s="36">
        <f>$P26-AI26</f>
        <v>5000000.0</v>
      </c>
    </row>
    <row r="27" spans="1:36">
      <c r="A27" s="11" t="s">
        <v>170</v>
      </c>
      <c r="B27" s="27" t="s">
        <v>77</v>
      </c>
      <c r="C27" s="27" t="s">
        <v>170</v>
      </c>
      <c r="D27" s="28">
        <v>1</v>
      </c>
      <c r="E27" s="27" t="s">
        <v>171</v>
      </c>
      <c r="F27" s="27" t="s">
        <v>133</v>
      </c>
      <c r="G27" s="29">
        <v>5000000</v>
      </c>
      <c r="H27" s="29">
        <v>200000000</v>
      </c>
      <c r="I27" s="29">
        <v>0</v>
      </c>
      <c r="J27" s="30">
        <v>3</v>
      </c>
      <c r="K27" s="30"/>
      <c r="L27" s="30">
        <v>7</v>
      </c>
      <c r="M27" s="31"/>
      <c r="N27" s="29"/>
      <c r="O27" s="32">
        <v>0.8</v>
      </c>
      <c r="P27" s="33">
        <f>G27+I27</f>
        <v>5000000</v>
      </c>
      <c r="Q27" s="33">
        <f>P27/D27</f>
        <v>5000000.0</v>
      </c>
      <c r="R27" s="34">
        <f>ROUND(G27/D27/H27,3)</f>
        <v>0.025</v>
      </c>
      <c r="S27" s="33">
        <f>IF(ISNUMBER($O27),ROUND(($O27*$P27)/IF(ABS($O27*$P27)&lt;1000000,10000,100000),0)*IF(ABS($O27*$P27)&lt;1000000,10000,100000),ROUND(($M27*IF(ISNUMBER(CapTarget),MIN($N27,CapTarget),$N27))/IF(ABS($M27*IF(ISNUMBER(CapTarget),MIN($N27,CapTarget),$N27))&lt;1000000,10000,100000),0)*IF(ABS($M27*IF(ISNUMBER(CapTarget),MIN($N27,CapTarget),$N27))&lt;1000000,10000,100000))</f>
        <v>4000000</v>
      </c>
      <c r="T27" s="33">
        <f>IF(ISNUMBER($O27),ROUND(($O27*$P27)/IF(ABS($O27*$P27)&lt;1000000,10000,100000),0)*IF(ABS($O27*$P27)&lt;1000000,10000,100000),ROUND(($M27*IF(ISNUMBER(CapBase),MIN($N27,CapBase),$N27))/IF(ABS($M27*IF(ISNUMBER(CapBase),MIN($N27,CapBase),$N27))&lt;1000000,10000,100000),0)*IF(ABS($M27*IF(ISNUMBER(CapBase),MIN($N27,CapBase),$N27))&lt;1000000,10000,100000))</f>
        <v>4000000</v>
      </c>
      <c r="U27" s="33">
        <f>IF(ISNUMBER($O27),ROUND(($O27*$P27)/IF(ABS($O27*$P27)&lt;1000000,10000,100000),0)*IF(ABS($O27*$P27)&lt;1000000,10000,100000),ROUND(($M27*IF(ISNUMBER(CapStress),MIN($N27,CapStress),$N27))/IF(ABS($M27*IF(ISNUMBER(CapStress),MIN($N27,CapStress),$N27))&lt;1000000,10000,100000),0)*IF(ABS($M27*IF(ISNUMBER(CapStress),MIN($N27,CapStress),$N27))&lt;1000000,10000,100000))</f>
        <v>4000000</v>
      </c>
      <c r="V27" s="35">
        <f>ROUND(S27/$P27,1)</f>
        <v>0.8</v>
      </c>
      <c r="W27" s="35">
        <f>ROUND(T27/$P27,1)</f>
        <v>0.8</v>
      </c>
      <c r="X27" s="35">
        <f>ROUND(U27/$P27,1)</f>
        <v>0.8</v>
      </c>
      <c r="Y27" s="36">
        <f>IF(AND(OR($C27=SecCo1,$C27=SecCo2),$L27&gt;SecYear,S27&lt;&gt;0),ROUND((SecShare*SecPrice*S27)/IF(ABS(SecShare*SecPrice*S27)&lt;1000000,10000,100000),0)*IF(ABS(SecShare*SecPrice*S27)&lt;1000000,10000,100000),0)</f>
        <v>0</v>
      </c>
      <c r="Z27" s="36">
        <f>IF(AND(OR($C27=SecCo1,$C27=SecCo2),$L27&gt;SecYear,S27&lt;&gt;0),ROUND(((1-SecShare)*S27)/IF(ABS((1-SecShare)*S27)&lt;1000000,10000,100000),0)*IF(ABS((1-SecShare)*S27)&lt;1000000,10000,100000),S27)</f>
        <v>4000000</v>
      </c>
      <c r="AA27" s="36">
        <f>IF(AND(OR($C27=SecCo1,$C27=SecCo2),$L27&gt;SecYear,S27&lt;&gt;0),SecShare*$P27,0)</f>
        <v>0.0</v>
      </c>
      <c r="AB27" s="36">
        <f>$P27-AA27</f>
        <v>5000000.0</v>
      </c>
      <c r="AC27" s="36">
        <f>IF(AND(OR($C27=SecCo1,$C27=SecCo2),$L27&gt;SecYear,T27&lt;&gt;0),ROUND((SecShare*SecPrice*T27)/IF(ABS(SecShare*SecPrice*T27)&lt;1000000,10000,100000),0)*IF(ABS(SecShare*SecPrice*T27)&lt;1000000,10000,100000),0)</f>
        <v>0</v>
      </c>
      <c r="AD27" s="36">
        <f>IF(AND(OR($C27=SecCo1,$C27=SecCo2),$L27&gt;SecYear,T27&lt;&gt;0),ROUND(((1-SecShare)*T27)/IF(ABS((1-SecShare)*T27)&lt;1000000,10000,100000),0)*IF(ABS((1-SecShare)*T27)&lt;1000000,10000,100000),T27)</f>
        <v>4000000</v>
      </c>
      <c r="AE27" s="36">
        <f>IF(AND(OR($C27=SecCo1,$C27=SecCo2),$L27&gt;SecYear,T27&lt;&gt;0),SecShare*$P27,0)</f>
        <v>0.0</v>
      </c>
      <c r="AF27" s="36">
        <f>$P27-AE27</f>
        <v>5000000.0</v>
      </c>
      <c r="AG27" s="36">
        <f>IF(AND(OR($C27=SecCo1,$C27=SecCo2),$L27&gt;SecYear,U27&lt;&gt;0),ROUND((SecShare*SecPrice*U27)/IF(ABS(SecShare*SecPrice*U27)&lt;1000000,10000,100000),0)*IF(ABS(SecShare*SecPrice*U27)&lt;1000000,10000,100000),0)</f>
        <v>0</v>
      </c>
      <c r="AH27" s="36">
        <f>IF(AND(OR($C27=SecCo1,$C27=SecCo2),$L27&gt;SecYear,U27&lt;&gt;0),ROUND(((1-SecShare)*U27)/IF(ABS((1-SecShare)*U27)&lt;1000000,10000,100000),0)*IF(ABS((1-SecShare)*U27)&lt;1000000,10000,100000),U27)</f>
        <v>4000000</v>
      </c>
      <c r="AI27" s="36">
        <f>IF(AND(OR($C27=SecCo1,$C27=SecCo2),$L27&gt;SecYear,U27&lt;&gt;0),SecShare*$P27,0)</f>
        <v>0.0</v>
      </c>
      <c r="AJ27" s="36">
        <f>$P27-AI27</f>
        <v>5000000.0</v>
      </c>
    </row>
    <row r="28" spans="1:36">
      <c r="A28" s="37" t="s">
        <v>172</v>
      </c>
      <c r="B28" s="37"/>
      <c r="C28" s="37"/>
      <c r="D28" s="37"/>
      <c r="E28" s="37" t="s">
        <v>175</v>
      </c>
      <c r="F28" s="37"/>
      <c r="G28" s="38">
        <f>SUM(G22:G27)</f>
        <v>33000000</v>
      </c>
      <c r="H28" s="37"/>
      <c r="I28" s="38">
        <f>SUM(I22:I27)</f>
        <v>0</v>
      </c>
      <c r="J28" s="37"/>
      <c r="K28" s="37"/>
      <c r="L28" s="37"/>
      <c r="M28" s="37"/>
      <c r="N28" s="37"/>
      <c r="O28" s="37"/>
      <c r="P28" s="38">
        <f>SUM(P22:P27)</f>
        <v>33000000</v>
      </c>
      <c r="Q28" s="37"/>
      <c r="R28" s="37"/>
      <c r="S28" s="38">
        <f>SUM(S22:S27)</f>
        <v>102100000</v>
      </c>
      <c r="T28" s="38">
        <f>SUM(T22:T27)</f>
        <v>53000000</v>
      </c>
      <c r="U28" s="38">
        <f>SUM(U22:U27)</f>
        <v>28600000</v>
      </c>
      <c r="V28" s="39">
        <f>ROUND(S28/P28,1)</f>
        <v>3.1</v>
      </c>
      <c r="W28" s="39">
        <f>ROUND(T28/P28,1)</f>
        <v>1.6</v>
      </c>
      <c r="X28" s="39">
        <f>ROUND(U28/P28,1)</f>
        <v>0.9</v>
      </c>
    </row>
    <row r="29" spans="1:36">
      <c r="A29" s="40" t="s">
        <v>176</v>
      </c>
      <c r="B29" s="40"/>
      <c r="C29" s="40"/>
      <c r="D29" s="40"/>
      <c r="E29" s="40"/>
      <c r="F29" s="40"/>
      <c r="G29" s="41">
        <f>G14+G21+G28</f>
        <v>66000000</v>
      </c>
      <c r="H29" s="40"/>
      <c r="I29" s="41">
        <f>I14+I21+I28</f>
        <v>17900000</v>
      </c>
      <c r="J29" s="40"/>
      <c r="K29" s="40"/>
      <c r="L29" s="40"/>
      <c r="M29" s="40"/>
      <c r="N29" s="40"/>
      <c r="O29" s="40"/>
      <c r="P29" s="41">
        <f>P14+P21+P28</f>
        <v>83900000</v>
      </c>
      <c r="Q29" s="40"/>
      <c r="R29" s="40"/>
      <c r="S29" s="41">
        <f>S14+S21+S28</f>
        <v>324300000</v>
      </c>
      <c r="T29" s="41">
        <f>T14+T21+T28</f>
        <v>190700000</v>
      </c>
      <c r="U29" s="41">
        <f>U14+U21+U28</f>
        <v>115800000</v>
      </c>
      <c r="V29" s="42">
        <f>ROUND(S29/P29,1)</f>
        <v>3.9</v>
      </c>
      <c r="W29" s="42">
        <f>ROUND(T29/P29,1)</f>
        <v>2.3</v>
      </c>
      <c r="X29" s="42">
        <f>ROUND(U29/P29,1)</f>
        <v>1.4</v>
      </c>
    </row>
    <row r="31" spans="1:36">
      <c r="A31" s="13" t="s">
        <v>177</v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O55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4.7109375" customWidth="1"/>
    <col min="2" max="15" width="14.7109375" customWidth="1"/>
  </cols>
  <sheetData>
    <row r="1" spans="1:15" ht="30" customHeight="1">
      <c r="A1" s="12" t="s">
        <v>224</v>
      </c>
    </row>
    <row r="2" spans="1:15">
      <c r="A2" s="13" t="s">
        <v>225</v>
      </c>
    </row>
    <row r="4" spans="1:15" ht="20.25" customHeight="1">
      <c r="A4" s="8" t="s">
        <v>226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32.25" customHeight="1">
      <c r="A5" s="26" t="s">
        <v>97</v>
      </c>
      <c r="B5" s="26" t="s">
        <v>84</v>
      </c>
      <c r="C5" s="26" t="s">
        <v>227</v>
      </c>
      <c r="D5" s="26" t="s">
        <v>228</v>
      </c>
      <c r="E5" s="26" t="s">
        <v>229</v>
      </c>
      <c r="F5" s="26" t="s">
        <v>111</v>
      </c>
      <c r="G5" s="26" t="s">
        <v>230</v>
      </c>
      <c r="H5" s="26" t="s">
        <v>231</v>
      </c>
      <c r="I5" s="26" t="s">
        <v>114</v>
      </c>
      <c r="J5" s="26" t="s">
        <v>115</v>
      </c>
      <c r="K5" s="26" t="s">
        <v>116</v>
      </c>
      <c r="L5" s="26" t="s">
        <v>232</v>
      </c>
      <c r="M5" s="26" t="s">
        <v>233</v>
      </c>
      <c r="N5" s="26" t="s">
        <v>234</v>
      </c>
    </row>
    <row r="6" spans="1:15">
      <c r="A6" s="6" t="s">
        <v>75</v>
      </c>
      <c r="B6" s="43">
        <f>SUMIFS(Lines!$D$6:$D$28,Lines!$B$6:$B$28,"Seed",Lines!$F$6:$F$28,"new")</f>
        <v>18</v>
      </c>
      <c r="C6" s="43">
        <f>COUNTIF(Lines!$B$6:$B$28,"Seed")</f>
        <v>8</v>
      </c>
      <c r="D6" s="33">
        <f>SUMIF(Lines!$B$6:$B$28,"Seed",Lines!$G$6:$G$28)</f>
        <v>9000000</v>
      </c>
      <c r="E6" s="33">
        <f>SUMIF(Lines!$B$6:$B$28,"Seed",Lines!$I$6:$I$28)</f>
        <v>7500000</v>
      </c>
      <c r="F6" s="33">
        <f>SUMIF(Lines!$B$6:$B$28,"Seed",Lines!$P$6:$P$28)</f>
        <v>16500000</v>
      </c>
      <c r="G6" s="33">
        <f>SUMIFS(Lines!$P$6:$P$28,Lines!$B$6:$B$28,"Seed",Lines!$F$6:$F$28,"follow_on")</f>
        <v>0</v>
      </c>
      <c r="H6" s="44">
        <f>ROUND((F6-G6)/F6,2)</f>
        <v>1.0</v>
      </c>
      <c r="I6" s="33">
        <f>SUMIF(Lines!$B$6:$B$28,"Seed",Lines!$S$6:$S$28)</f>
        <v>110200000</v>
      </c>
      <c r="J6" s="33">
        <f>SUMIF(Lines!$B$6:$B$28,"Seed",Lines!$T$6:$T$28)</f>
        <v>61700000</v>
      </c>
      <c r="K6" s="33">
        <f>SUMIF(Lines!$B$6:$B$28,"Seed",Lines!$U$6:$U$28)</f>
        <v>40300000</v>
      </c>
      <c r="L6" s="35">
        <f>ROUND(I6/F6,1)</f>
        <v>6.7</v>
      </c>
      <c r="M6" s="35">
        <f>ROUND(J6/F6,1)</f>
        <v>3.7</v>
      </c>
      <c r="N6" s="35">
        <f>ROUND(K6/F6,1)</f>
        <v>2.4</v>
      </c>
    </row>
    <row r="7" spans="1:15">
      <c r="A7" s="6" t="s">
        <v>76</v>
      </c>
      <c r="B7" s="43">
        <f>SUMIFS(Lines!$D$6:$D$28,Lines!$B$6:$B$28,"Venture",Lines!$F$6:$F$28,"new")</f>
        <v>8</v>
      </c>
      <c r="C7" s="43">
        <f>COUNTIF(Lines!$B$6:$B$28,"Venture")</f>
        <v>6</v>
      </c>
      <c r="D7" s="33">
        <f>SUMIF(Lines!$B$6:$B$28,"Venture",Lines!$G$6:$G$28)</f>
        <v>24000000</v>
      </c>
      <c r="E7" s="33">
        <f>SUMIF(Lines!$B$6:$B$28,"Venture",Lines!$I$6:$I$28)</f>
        <v>10400000</v>
      </c>
      <c r="F7" s="33">
        <f>SUMIF(Lines!$B$6:$B$28,"Venture",Lines!$P$6:$P$28)</f>
        <v>34400000</v>
      </c>
      <c r="G7" s="33">
        <f>SUMIFS(Lines!$P$6:$P$28,Lines!$B$6:$B$28,"Venture",Lines!$F$6:$F$28,"follow_on")</f>
        <v>0</v>
      </c>
      <c r="H7" s="44">
        <f>ROUND((F7-G7)/F7,2)</f>
        <v>1.0</v>
      </c>
      <c r="I7" s="33">
        <f>SUMIF(Lines!$B$6:$B$28,"Venture",Lines!$S$6:$S$28)</f>
        <v>112000000</v>
      </c>
      <c r="J7" s="33">
        <f>SUMIF(Lines!$B$6:$B$28,"Venture",Lines!$T$6:$T$28)</f>
        <v>76000000</v>
      </c>
      <c r="K7" s="33">
        <f>SUMIF(Lines!$B$6:$B$28,"Venture",Lines!$U$6:$U$28)</f>
        <v>46900000</v>
      </c>
      <c r="L7" s="35">
        <f>ROUND(I7/F7,1)</f>
        <v>3.3</v>
      </c>
      <c r="M7" s="35">
        <f>ROUND(J7/F7,1)</f>
        <v>2.2</v>
      </c>
      <c r="N7" s="35">
        <f>ROUND(K7/F7,1)</f>
        <v>1.4</v>
      </c>
    </row>
    <row r="8" spans="1:15">
      <c r="A8" s="6" t="s">
        <v>77</v>
      </c>
      <c r="B8" s="43">
        <f>SUMIFS(Lines!$D$6:$D$28,Lines!$B$6:$B$28,"Growth",Lines!$F$6:$F$28,"new")</f>
        <v>3</v>
      </c>
      <c r="C8" s="43">
        <f>COUNTIF(Lines!$B$6:$B$28,"Growth")</f>
        <v>6</v>
      </c>
      <c r="D8" s="33">
        <f>SUMIF(Lines!$B$6:$B$28,"Growth",Lines!$G$6:$G$28)</f>
        <v>33000000</v>
      </c>
      <c r="E8" s="33">
        <f>SUMIF(Lines!$B$6:$B$28,"Growth",Lines!$I$6:$I$28)</f>
        <v>0</v>
      </c>
      <c r="F8" s="33">
        <f>SUMIF(Lines!$B$6:$B$28,"Growth",Lines!$P$6:$P$28)</f>
        <v>33000000</v>
      </c>
      <c r="G8" s="33">
        <f>SUMIFS(Lines!$P$6:$P$28,Lines!$B$6:$B$28,"Growth",Lines!$F$6:$F$28,"follow_on")</f>
        <v>17000000</v>
      </c>
      <c r="H8" s="44">
        <f>ROUND((F8-G8)/F8,2)</f>
        <v>0.48</v>
      </c>
      <c r="I8" s="33">
        <f>SUMIF(Lines!$B$6:$B$28,"Growth",Lines!$S$6:$S$28)</f>
        <v>102100000</v>
      </c>
      <c r="J8" s="33">
        <f>SUMIF(Lines!$B$6:$B$28,"Growth",Lines!$T$6:$T$28)</f>
        <v>53000000</v>
      </c>
      <c r="K8" s="33">
        <f>SUMIF(Lines!$B$6:$B$28,"Growth",Lines!$U$6:$U$28)</f>
        <v>28600000</v>
      </c>
      <c r="L8" s="35">
        <f>ROUND(I8/F8,1)</f>
        <v>3.1</v>
      </c>
      <c r="M8" s="35">
        <f>ROUND(J8/F8,1)</f>
        <v>1.6</v>
      </c>
      <c r="N8" s="35">
        <f>ROUND(K8/F8,1)</f>
        <v>0.9</v>
      </c>
    </row>
    <row r="9" spans="1:15">
      <c r="A9" s="45" t="s">
        <v>183</v>
      </c>
      <c r="B9" s="46">
        <f>SUM(B6:B8)</f>
        <v>29</v>
      </c>
      <c r="C9" s="46">
        <f>SUM(C6:C8)</f>
        <v>20</v>
      </c>
      <c r="D9" s="47">
        <f>SUM(D6:D8)</f>
        <v>66000000</v>
      </c>
      <c r="E9" s="47">
        <f>SUM(E6:E8)</f>
        <v>17900000</v>
      </c>
      <c r="F9" s="47">
        <f>SUM(F6:F8)</f>
        <v>83900000</v>
      </c>
      <c r="G9" s="47">
        <f>SUM(G6:G8)</f>
        <v>17000000</v>
      </c>
      <c r="H9" s="48">
        <f>ROUND((F9-G9)/F9,2)</f>
        <v>0.8</v>
      </c>
      <c r="I9" s="47">
        <f>SUM(I6:I8)</f>
        <v>324300000</v>
      </c>
      <c r="J9" s="47">
        <f>SUM(J6:J8)</f>
        <v>190700000</v>
      </c>
      <c r="K9" s="47">
        <f>SUM(K6:K8)</f>
        <v>115800000</v>
      </c>
      <c r="L9" s="49">
        <f>ROUND(I9/F9,1)</f>
        <v>3.9</v>
      </c>
      <c r="M9" s="49">
        <f>ROUND(J9/F9,1)</f>
        <v>2.3</v>
      </c>
      <c r="N9" s="49">
        <f>ROUND(K9/F9,1)</f>
        <v>1.4</v>
      </c>
    </row>
    <row r="12" spans="1:15" ht="20.25" customHeight="1">
      <c r="A12" s="8" t="s">
        <v>235</v>
      </c>
      <c r="B12" s="9"/>
      <c r="C12" s="9"/>
      <c r="D12" s="9"/>
    </row>
    <row r="13" spans="1:15">
      <c r="A13" t="s">
        <v>236</v>
      </c>
      <c r="B13" s="33">
        <f>F6</f>
        <v>16500000</v>
      </c>
    </row>
    <row r="14" spans="1:15">
      <c r="A14" t="s">
        <v>237</v>
      </c>
      <c r="B14" s="33">
        <f>F7</f>
        <v>34400000</v>
      </c>
    </row>
    <row r="15" spans="1:15">
      <c r="A15" t="s">
        <v>238</v>
      </c>
      <c r="B15" s="33">
        <f>F8</f>
        <v>33000000</v>
      </c>
    </row>
    <row r="16" spans="1:15">
      <c r="A16" s="6" t="s">
        <v>111</v>
      </c>
      <c r="B16" s="47">
        <f>B13+B14+B15</f>
        <v>83900000</v>
      </c>
    </row>
    <row r="17" spans="1:7">
      <c r="A17" t="s">
        <v>239</v>
      </c>
      <c r="B17" s="33">
        <f>SUMIFS(Lines!$G$6:$G$28,Lines!$F$6:$F$28,"new")</f>
        <v>49000000</v>
      </c>
    </row>
    <row r="18" spans="1:7">
      <c r="A18" t="s">
        <v>240</v>
      </c>
      <c r="B18" s="33">
        <f>B16-B17</f>
        <v>34900000</v>
      </c>
    </row>
    <row r="19" spans="1:7">
      <c r="A19" t="s">
        <v>241</v>
      </c>
      <c r="B19" s="44">
        <f>ROUND(B18/B16,2)</f>
        <v>0.42</v>
      </c>
    </row>
    <row r="20" spans="1:7">
      <c r="A20" t="s">
        <v>242</v>
      </c>
      <c r="B20" s="33">
        <f>'Cash flows'!$B$43</f>
        <v>12100000</v>
      </c>
    </row>
    <row r="21" spans="1:7">
      <c r="A21" t="s">
        <v>243</v>
      </c>
      <c r="B21" s="33">
        <f>'Cash flows'!$B$44</f>
        <v>3900000</v>
      </c>
    </row>
    <row r="22" spans="1:7">
      <c r="A22" t="s">
        <v>244</v>
      </c>
      <c r="B22" s="33">
        <f>ROUND((Commitments-B16-B20-B21)/IF(ABS(Commitments-B16-B20-B21)&lt;1000000,10000,100000),0)*IF(ABS(Commitments-B16-B20-B21)&lt;1000000,10000,100000)</f>
        <v>100000</v>
      </c>
    </row>
    <row r="23" spans="1:7">
      <c r="A23" s="6" t="s">
        <v>245</v>
      </c>
      <c r="B23" s="47">
        <f>Commitments</f>
        <v>100000000</v>
      </c>
    </row>
    <row r="26" spans="1:7" ht="20.25" customHeight="1">
      <c r="A26" s="8" t="s">
        <v>246</v>
      </c>
      <c r="B26" s="9"/>
      <c r="C26" s="9"/>
      <c r="D26" s="9"/>
      <c r="E26" s="9"/>
      <c r="F26" s="9"/>
    </row>
    <row r="27" spans="1:7">
      <c r="A27" s="26" t="s">
        <v>97</v>
      </c>
      <c r="B27" s="26" t="s">
        <v>247</v>
      </c>
      <c r="C27" s="26" t="s">
        <v>248</v>
      </c>
      <c r="D27" s="26" t="s">
        <v>249</v>
      </c>
      <c r="E27" s="26" t="s">
        <v>250</v>
      </c>
      <c r="F27" s="26" t="s">
        <v>251</v>
      </c>
    </row>
    <row r="28" spans="1:7">
      <c r="A28" s="6" t="s">
        <v>75</v>
      </c>
      <c r="B28" s="43">
        <f>B6</f>
        <v>18</v>
      </c>
      <c r="C28" s="33">
        <f>ROUND((B28*ResSeed_graduation_pct*ResSeed_pro_rata_pct*ResSeed_next_round+ResSeed_bridges)/IF(ABS(B28*ResSeed_graduation_pct*ResSeed_pro_rata_pct*ResSeed_next_round+ResSeed_bridges)&lt;1000000,10000,100000),0)*IF(ABS(B28*ResSeed_graduation_pct*ResSeed_pro_rata_pct*ResSeed_next_round+ResSeed_bridges)&lt;1000000,10000,100000)</f>
        <v>7500000</v>
      </c>
      <c r="D28" s="33">
        <f>E6</f>
        <v>7500000</v>
      </c>
      <c r="E28" s="33">
        <f>D28-C28</f>
        <v>0</v>
      </c>
      <c r="F28" s="50" t="str">
        <f>IF(ABS(E28)&lt;=0.05*C28,"OK","CHECK")</f>
        <v>OK</v>
      </c>
    </row>
    <row r="29" spans="1:7">
      <c r="A29" s="6" t="s">
        <v>76</v>
      </c>
      <c r="B29" s="43">
        <f>B7</f>
        <v>8</v>
      </c>
      <c r="C29" s="33">
        <f>ROUND((B29*ResVenture_graduation_pct*ResVenture_pro_rata_pct*ResVenture_next_round+ResVenture_bridges)/IF(ABS(B29*ResVenture_graduation_pct*ResVenture_pro_rata_pct*ResVenture_next_round+ResVenture_bridges)&lt;1000000,10000,100000),0)*IF(ABS(B29*ResVenture_graduation_pct*ResVenture_pro_rata_pct*ResVenture_next_round+ResVenture_bridges)&lt;1000000,10000,100000)</f>
        <v>10400000</v>
      </c>
      <c r="D29" s="33">
        <f>E7</f>
        <v>10400000</v>
      </c>
      <c r="E29" s="33">
        <f>D29-C29</f>
        <v>0</v>
      </c>
      <c r="F29" s="50" t="str">
        <f>IF(ABS(E29)&lt;=0.05*C29,"OK","CHECK")</f>
        <v>OK</v>
      </c>
    </row>
    <row r="32" spans="1:7" ht="20.25" customHeight="1">
      <c r="A32" s="8" t="s">
        <v>252</v>
      </c>
      <c r="B32" s="9"/>
      <c r="C32" s="9"/>
      <c r="D32" s="9"/>
      <c r="E32" s="9"/>
      <c r="F32" s="9"/>
      <c r="G32" s="9"/>
    </row>
    <row r="33" spans="1:6" ht="32.25" customHeight="1">
      <c r="A33" s="26" t="s">
        <v>253</v>
      </c>
      <c r="B33" s="26" t="s">
        <v>254</v>
      </c>
      <c r="C33" s="26" t="s">
        <v>255</v>
      </c>
      <c r="D33" s="26" t="s">
        <v>256</v>
      </c>
      <c r="E33" s="26" t="s">
        <v>257</v>
      </c>
      <c r="F33" s="26" t="s">
        <v>258</v>
      </c>
    </row>
    <row r="34" spans="1:6">
      <c r="A34" s="6" t="s">
        <v>65</v>
      </c>
      <c r="B34" s="33">
        <f>ROUND((SUMIF(Lines!$C$6:$C$28,A34,Lines!$Q$6:$Q$28))/IF(ABS(SUMIF(Lines!$C$6:$C$28,A34,Lines!$Q$6:$Q$28))&lt;1000000,10000,100000),0)*IF(ABS(SUMIF(Lines!$C$6:$C$28,A34,Lines!$Q$6:$Q$28))&lt;1000000,10000,100000)</f>
        <v>10000000</v>
      </c>
      <c r="C34" s="33">
        <f>CompanyCap</f>
        <v>10000000</v>
      </c>
      <c r="D34" s="50" t="str">
        <f>IF(SUMIF(Lines!$C$6:$C$28,A34,Lines!$Q$6:$Q$28)&lt;=C34+1,"OK","CHECK")</f>
        <v>OK</v>
      </c>
      <c r="E34" s="33">
        <f>SUMIF(Lines!$C$6:$C$28,A34,Lines!$S$6:$S$28)</f>
        <v>100500000</v>
      </c>
      <c r="F34" s="33">
        <f>ROUND((CompanyMaxSPV-SUMIF(Lines!$C$6:$C$28,A34,Lines!$Q$6:$Q$28))/IF(ABS(CompanyMaxSPV-SUMIF(Lines!$C$6:$C$28,A34,Lines!$Q$6:$Q$28))&lt;1000000,10000,100000),0)*IF(ABS(CompanyMaxSPV-SUMIF(Lines!$C$6:$C$28,A34,Lines!$Q$6:$Q$28))&lt;1000000,10000,100000)</f>
        <v>5000000</v>
      </c>
    </row>
    <row r="35" spans="1:6">
      <c r="A35" s="6" t="s">
        <v>134</v>
      </c>
      <c r="B35" s="33">
        <f>ROUND((SUMIF(Lines!$C$6:$C$28,A35,Lines!$Q$6:$Q$28))/IF(ABS(SUMIF(Lines!$C$6:$C$28,A35,Lines!$Q$6:$Q$28))&lt;1000000,10000,100000),0)*IF(ABS(SUMIF(Lines!$C$6:$C$28,A35,Lines!$Q$6:$Q$28))&lt;1000000,10000,100000)</f>
        <v>7300000</v>
      </c>
      <c r="C35" s="33">
        <f>CompanyCap</f>
        <v>10000000</v>
      </c>
      <c r="D35" s="50" t="str">
        <f>IF(SUMIF(Lines!$C$6:$C$28,A35,Lines!$Q$6:$Q$28)&lt;=C35+1,"OK","CHECK")</f>
        <v>OK</v>
      </c>
      <c r="E35" s="33">
        <f>SUMIF(Lines!$C$6:$C$28,A35,Lines!$S$6:$S$28)</f>
        <v>37800000</v>
      </c>
    </row>
    <row r="36" spans="1:6">
      <c r="A36" s="6" t="s">
        <v>136</v>
      </c>
      <c r="B36" s="33">
        <f>ROUND((SUMIF(Lines!$C$6:$C$28,A36,Lines!$Q$6:$Q$28))/IF(ABS(SUMIF(Lines!$C$6:$C$28,A36,Lines!$Q$6:$Q$28))&lt;1000000,10000,100000),0)*IF(ABS(SUMIF(Lines!$C$6:$C$28,A36,Lines!$Q$6:$Q$28))&lt;1000000,10000,100000)</f>
        <v>1800000</v>
      </c>
      <c r="C36" s="33">
        <f>CompanyCap</f>
        <v>10000000</v>
      </c>
      <c r="D36" s="50" t="str">
        <f>IF(SUMIF(Lines!$C$6:$C$28,A36,Lines!$Q$6:$Q$28)&lt;=C36+1,"OK","CHECK")</f>
        <v>OK</v>
      </c>
      <c r="E36" s="33">
        <f>SUMIF(Lines!$C$6:$C$28,A36,Lines!$S$6:$S$28)</f>
        <v>9000000</v>
      </c>
    </row>
    <row r="37" spans="1:6">
      <c r="A37" s="6" t="s">
        <v>137</v>
      </c>
      <c r="B37" s="33">
        <f>ROUND((SUMIF(Lines!$C$6:$C$28,A37,Lines!$Q$6:$Q$28))/IF(ABS(SUMIF(Lines!$C$6:$C$28,A37,Lines!$Q$6:$Q$28))&lt;1000000,10000,100000),0)*IF(ABS(SUMIF(Lines!$C$6:$C$28,A37,Lines!$Q$6:$Q$28))&lt;1000000,10000,100000)</f>
        <v>1000000</v>
      </c>
      <c r="C37" s="33">
        <f>CompanyCap</f>
        <v>10000000</v>
      </c>
      <c r="D37" s="50" t="str">
        <f>IF(SUMIF(Lines!$C$6:$C$28,A37,Lines!$Q$6:$Q$28)&lt;=C37+1,"OK","CHECK")</f>
        <v>OK</v>
      </c>
      <c r="E37" s="33">
        <f>SUMIF(Lines!$C$6:$C$28,A37,Lines!$S$6:$S$28)</f>
        <v>7500000</v>
      </c>
    </row>
    <row r="38" spans="1:6">
      <c r="A38" s="6" t="s">
        <v>139</v>
      </c>
      <c r="B38" s="33">
        <f>ROUND((SUMIF(Lines!$C$6:$C$28,A38,Lines!$Q$6:$Q$28))/IF(ABS(SUMIF(Lines!$C$6:$C$28,A38,Lines!$Q$6:$Q$28))&lt;1000000,10000,100000),0)*IF(ABS(SUMIF(Lines!$C$6:$C$28,A38,Lines!$Q$6:$Q$28))&lt;1000000,10000,100000)</f>
        <v>1000000</v>
      </c>
      <c r="C38" s="33">
        <f>CompanyCap</f>
        <v>10000000</v>
      </c>
      <c r="D38" s="50" t="str">
        <f>IF(SUMIF(Lines!$C$6:$C$28,A38,Lines!$Q$6:$Q$28)&lt;=C38+1,"OK","CHECK")</f>
        <v>OK</v>
      </c>
      <c r="E38" s="33">
        <f>SUMIF(Lines!$C$6:$C$28,A38,Lines!$S$6:$S$28)</f>
        <v>2700000</v>
      </c>
    </row>
    <row r="39" spans="1:6">
      <c r="A39" s="6" t="s">
        <v>141</v>
      </c>
      <c r="B39" s="33">
        <f>ROUND((SUMIF(Lines!$C$6:$C$28,A39,Lines!$Q$6:$Q$28))/IF(ABS(SUMIF(Lines!$C$6:$C$28,A39,Lines!$Q$6:$Q$28))&lt;1000000,10000,100000),0)*IF(ABS(SUMIF(Lines!$C$6:$C$28,A39,Lines!$Q$6:$Q$28))&lt;1000000,10000,100000)</f>
        <v>300000</v>
      </c>
      <c r="C39" s="33">
        <f>CompanyCap</f>
        <v>10000000</v>
      </c>
      <c r="D39" s="50" t="str">
        <f>IF(SUMIF(Lines!$C$6:$C$28,A39,Lines!$Q$6:$Q$28)&lt;=C39+1,"OK","CHECK")</f>
        <v>OK</v>
      </c>
      <c r="E39" s="33">
        <f>SUMIF(Lines!$C$6:$C$28,A39,Lines!$S$6:$S$28)</f>
        <v>1600000</v>
      </c>
    </row>
    <row r="40" spans="1:6">
      <c r="A40" s="6" t="s">
        <v>143</v>
      </c>
      <c r="B40" s="33">
        <f>ROUND((SUMIF(Lines!$C$6:$C$28,A40,Lines!$Q$6:$Q$28))/IF(ABS(SUMIF(Lines!$C$6:$C$28,A40,Lines!$Q$6:$Q$28))&lt;1000000,10000,100000),0)*IF(ABS(SUMIF(Lines!$C$6:$C$28,A40,Lines!$Q$6:$Q$28))&lt;1000000,10000,100000)</f>
        <v>600000</v>
      </c>
      <c r="C40" s="33">
        <f>CompanyCap</f>
        <v>10000000</v>
      </c>
      <c r="D40" s="50" t="str">
        <f>IF(SUMIF(Lines!$C$6:$C$28,A40,Lines!$Q$6:$Q$28)&lt;=C40+1,"OK","CHECK")</f>
        <v>OK</v>
      </c>
      <c r="E40" s="33">
        <f>SUMIF(Lines!$C$6:$C$28,A40,Lines!$S$6:$S$28)</f>
        <v>900000</v>
      </c>
    </row>
    <row r="41" spans="1:6">
      <c r="A41" s="6" t="s">
        <v>146</v>
      </c>
      <c r="B41" s="33">
        <f>ROUND((SUMIF(Lines!$C$6:$C$28,A41,Lines!$Q$6:$Q$28))/IF(ABS(SUMIF(Lines!$C$6:$C$28,A41,Lines!$Q$6:$Q$28))&lt;1000000,10000,100000),0)*IF(ABS(SUMIF(Lines!$C$6:$C$28,A41,Lines!$Q$6:$Q$28))&lt;1000000,10000,100000)</f>
        <v>600000</v>
      </c>
      <c r="C41" s="33">
        <f>CompanyCap</f>
        <v>10000000</v>
      </c>
      <c r="D41" s="50" t="str">
        <f>IF(SUMIF(Lines!$C$6:$C$28,A41,Lines!$Q$6:$Q$28)&lt;=C41+1,"OK","CHECK")</f>
        <v>OK</v>
      </c>
      <c r="E41" s="33">
        <f>SUMIF(Lines!$C$6:$C$28,A41,Lines!$S$6:$S$28)</f>
        <v>0</v>
      </c>
    </row>
    <row r="42" spans="1:6">
      <c r="A42" s="6" t="s">
        <v>67</v>
      </c>
      <c r="B42" s="33">
        <f>ROUND((SUMIF(Lines!$C$6:$C$28,A42,Lines!$Q$6:$Q$28))/IF(ABS(SUMIF(Lines!$C$6:$C$28,A42,Lines!$Q$6:$Q$28))&lt;1000000,10000,100000),0)*IF(ABS(SUMIF(Lines!$C$6:$C$28,A42,Lines!$Q$6:$Q$28))&lt;1000000,10000,100000)</f>
        <v>10000000</v>
      </c>
      <c r="C42" s="33">
        <f>CompanyCap</f>
        <v>10000000</v>
      </c>
      <c r="D42" s="50" t="str">
        <f>IF(SUMIF(Lines!$C$6:$C$28,A42,Lines!$Q$6:$Q$28)&lt;=C42+1,"OK","CHECK")</f>
        <v>OK</v>
      </c>
      <c r="E42" s="33">
        <f>SUMIF(Lines!$C$6:$C$28,A42,Lines!$S$6:$S$28)</f>
        <v>66000000</v>
      </c>
      <c r="F42" s="33">
        <f>ROUND((CompanyMaxSPV-SUMIF(Lines!$C$6:$C$28,A42,Lines!$Q$6:$Q$28))/IF(ABS(CompanyMaxSPV-SUMIF(Lines!$C$6:$C$28,A42,Lines!$Q$6:$Q$28))&lt;1000000,10000,100000),0)*IF(ABS(CompanyMaxSPV-SUMIF(Lines!$C$6:$C$28,A42,Lines!$Q$6:$Q$28))&lt;1000000,10000,100000)</f>
        <v>5000000</v>
      </c>
    </row>
    <row r="43" spans="1:6">
      <c r="A43" s="6" t="s">
        <v>149</v>
      </c>
      <c r="B43" s="33">
        <f>ROUND((SUMIF(Lines!$C$6:$C$28,A43,Lines!$Q$6:$Q$28))/IF(ABS(SUMIF(Lines!$C$6:$C$28,A43,Lines!$Q$6:$Q$28))&lt;1000000,10000,100000),0)*IF(ABS(SUMIF(Lines!$C$6:$C$28,A43,Lines!$Q$6:$Q$28))&lt;1000000,10000,100000)</f>
        <v>5000000</v>
      </c>
      <c r="C43" s="33">
        <f>CompanyCap</f>
        <v>10000000</v>
      </c>
      <c r="D43" s="50" t="str">
        <f>IF(SUMIF(Lines!$C$6:$C$28,A43,Lines!$Q$6:$Q$28)&lt;=C43+1,"OK","CHECK")</f>
        <v>OK</v>
      </c>
      <c r="E43" s="33">
        <f>SUMIF(Lines!$C$6:$C$28,A43,Lines!$S$6:$S$28)</f>
        <v>27000000</v>
      </c>
    </row>
    <row r="44" spans="1:6">
      <c r="A44" s="6" t="s">
        <v>151</v>
      </c>
      <c r="B44" s="33">
        <f>ROUND((SUMIF(Lines!$C$6:$C$28,A44,Lines!$Q$6:$Q$28))/IF(ABS(SUMIF(Lines!$C$6:$C$28,A44,Lines!$Q$6:$Q$28))&lt;1000000,10000,100000),0)*IF(ABS(SUMIF(Lines!$C$6:$C$28,A44,Lines!$Q$6:$Q$28))&lt;1000000,10000,100000)</f>
        <v>4500000</v>
      </c>
      <c r="C44" s="33">
        <f>CompanyCap</f>
        <v>10000000</v>
      </c>
      <c r="D44" s="50" t="str">
        <f>IF(SUMIF(Lines!$C$6:$C$28,A44,Lines!$Q$6:$Q$28)&lt;=C44+1,"OK","CHECK")</f>
        <v>OK</v>
      </c>
      <c r="E44" s="33">
        <f>SUMIF(Lines!$C$6:$C$28,A44,Lines!$S$6:$S$28)</f>
        <v>18000000</v>
      </c>
    </row>
    <row r="45" spans="1:6">
      <c r="A45" s="6" t="s">
        <v>152</v>
      </c>
      <c r="B45" s="33">
        <f>ROUND((SUMIF(Lines!$C$6:$C$28,A45,Lines!$Q$6:$Q$28))/IF(ABS(SUMIF(Lines!$C$6:$C$28,A45,Lines!$Q$6:$Q$28))&lt;1000000,10000,100000),0)*IF(ABS(SUMIF(Lines!$C$6:$C$28,A45,Lines!$Q$6:$Q$28))&lt;1000000,10000,100000)</f>
        <v>4000000</v>
      </c>
      <c r="C45" s="33">
        <f>CompanyCap</f>
        <v>10000000</v>
      </c>
      <c r="D45" s="50" t="str">
        <f>IF(SUMIF(Lines!$C$6:$C$28,A45,Lines!$Q$6:$Q$28)&lt;=C45+1,"OK","CHECK")</f>
        <v>OK</v>
      </c>
      <c r="E45" s="33">
        <f>SUMIF(Lines!$C$6:$C$28,A45,Lines!$S$6:$S$28)</f>
        <v>10000000</v>
      </c>
    </row>
    <row r="46" spans="1:6">
      <c r="A46" s="6" t="s">
        <v>155</v>
      </c>
      <c r="B46" s="33">
        <f>ROUND((SUMIF(Lines!$C$6:$C$28,A46,Lines!$Q$6:$Q$28))/IF(ABS(SUMIF(Lines!$C$6:$C$28,A46,Lines!$Q$6:$Q$28))&lt;1000000,10000,100000),0)*IF(ABS(SUMIF(Lines!$C$6:$C$28,A46,Lines!$Q$6:$Q$28))&lt;1000000,10000,100000)</f>
        <v>3800000</v>
      </c>
      <c r="C46" s="33">
        <f>CompanyCap</f>
        <v>10000000</v>
      </c>
      <c r="D46" s="50" t="str">
        <f>IF(SUMIF(Lines!$C$6:$C$28,A46,Lines!$Q$6:$Q$28)&lt;=C46+1,"OK","CHECK")</f>
        <v>OK</v>
      </c>
      <c r="E46" s="33">
        <f>SUMIF(Lines!$C$6:$C$28,A46,Lines!$S$6:$S$28)</f>
        <v>3000000</v>
      </c>
    </row>
    <row r="47" spans="1:6">
      <c r="A47" s="6" t="s">
        <v>158</v>
      </c>
      <c r="B47" s="33">
        <f>ROUND((SUMIF(Lines!$C$6:$C$28,A47,Lines!$Q$6:$Q$28))/IF(ABS(SUMIF(Lines!$C$6:$C$28,A47,Lines!$Q$6:$Q$28))&lt;1000000,10000,100000),0)*IF(ABS(SUMIF(Lines!$C$6:$C$28,A47,Lines!$Q$6:$Q$28))&lt;1000000,10000,100000)</f>
        <v>4200000</v>
      </c>
      <c r="C47" s="33">
        <f>CompanyCap</f>
        <v>10000000</v>
      </c>
      <c r="D47" s="50" t="str">
        <f>IF(SUMIF(Lines!$C$6:$C$28,A47,Lines!$Q$6:$Q$28)&lt;=C47+1,"OK","CHECK")</f>
        <v>OK</v>
      </c>
      <c r="E47" s="33">
        <f>SUMIF(Lines!$C$6:$C$28,A47,Lines!$S$6:$S$28)</f>
        <v>0</v>
      </c>
    </row>
    <row r="48" spans="1:6">
      <c r="A48" s="6" t="s">
        <v>167</v>
      </c>
      <c r="B48" s="33">
        <f>ROUND((SUMIF(Lines!$C$6:$C$28,A48,Lines!$Q$6:$Q$28))/IF(ABS(SUMIF(Lines!$C$6:$C$28,A48,Lines!$Q$6:$Q$28))&lt;1000000,10000,100000),0)*IF(ABS(SUMIF(Lines!$C$6:$C$28,A48,Lines!$Q$6:$Q$28))&lt;1000000,10000,100000)</f>
        <v>6000000</v>
      </c>
      <c r="C48" s="33">
        <f>CompanyCap</f>
        <v>10000000</v>
      </c>
      <c r="D48" s="50" t="str">
        <f>IF(SUMIF(Lines!$C$6:$C$28,A48,Lines!$Q$6:$Q$28)&lt;=C48+1,"OK","CHECK")</f>
        <v>OK</v>
      </c>
      <c r="E48" s="33">
        <f>SUMIF(Lines!$C$6:$C$28,A48,Lines!$S$6:$S$28)</f>
        <v>21000000</v>
      </c>
      <c r="F48" s="33">
        <f>ROUND((CompanyMaxSPV-SUMIF(Lines!$C$6:$C$28,A48,Lines!$Q$6:$Q$28))/IF(ABS(CompanyMaxSPV-SUMIF(Lines!$C$6:$C$28,A48,Lines!$Q$6:$Q$28))&lt;1000000,10000,100000),0)*IF(ABS(CompanyMaxSPV-SUMIF(Lines!$C$6:$C$28,A48,Lines!$Q$6:$Q$28))&lt;1000000,10000,100000)</f>
        <v>9000000</v>
      </c>
    </row>
    <row r="49" spans="1:6">
      <c r="A49" s="6" t="s">
        <v>169</v>
      </c>
      <c r="B49" s="33">
        <f>ROUND((SUMIF(Lines!$C$6:$C$28,A49,Lines!$Q$6:$Q$28))/IF(ABS(SUMIF(Lines!$C$6:$C$28,A49,Lines!$Q$6:$Q$28))&lt;1000000,10000,100000),0)*IF(ABS(SUMIF(Lines!$C$6:$C$28,A49,Lines!$Q$6:$Q$28))&lt;1000000,10000,100000)</f>
        <v>5000000</v>
      </c>
      <c r="C49" s="33">
        <f>CompanyCap</f>
        <v>10000000</v>
      </c>
      <c r="D49" s="50" t="str">
        <f>IF(SUMIF(Lines!$C$6:$C$28,A49,Lines!$Q$6:$Q$28)&lt;=C49+1,"OK","CHECK")</f>
        <v>OK</v>
      </c>
      <c r="E49" s="33">
        <f>SUMIF(Lines!$C$6:$C$28,A49,Lines!$S$6:$S$28)</f>
        <v>15300000</v>
      </c>
    </row>
    <row r="50" spans="1:6">
      <c r="A50" s="6" t="s">
        <v>170</v>
      </c>
      <c r="B50" s="33">
        <f>ROUND((SUMIF(Lines!$C$6:$C$28,A50,Lines!$Q$6:$Q$28))/IF(ABS(SUMIF(Lines!$C$6:$C$28,A50,Lines!$Q$6:$Q$28))&lt;1000000,10000,100000),0)*IF(ABS(SUMIF(Lines!$C$6:$C$28,A50,Lines!$Q$6:$Q$28))&lt;1000000,10000,100000)</f>
        <v>5000000</v>
      </c>
      <c r="C50" s="33">
        <f>CompanyCap</f>
        <v>10000000</v>
      </c>
      <c r="D50" s="50" t="str">
        <f>IF(SUMIF(Lines!$C$6:$C$28,A50,Lines!$Q$6:$Q$28)&lt;=C50+1,"OK","CHECK")</f>
        <v>OK</v>
      </c>
      <c r="E50" s="33">
        <f>SUMIF(Lines!$C$6:$C$28,A50,Lines!$S$6:$S$28)</f>
        <v>4000000</v>
      </c>
    </row>
    <row r="51" spans="1:6">
      <c r="A51" s="6" t="s">
        <v>259</v>
      </c>
      <c r="F51" s="47">
        <f>SUM(F34:F50)</f>
        <v>19000000</v>
      </c>
    </row>
    <row r="53" spans="1:6">
      <c r="A53" t="s">
        <v>260</v>
      </c>
      <c r="B53" s="21" t="str">
        <f>INDEX(A34:A50,MATCH(MAX(E34:E50),E34:E50,0))</f>
        <v>S-01</v>
      </c>
    </row>
    <row r="54" spans="1:6">
      <c r="A54" t="s">
        <v>261</v>
      </c>
      <c r="B54" s="33">
        <f>MAX(E34:E50)</f>
        <v>100500000</v>
      </c>
    </row>
    <row r="55" spans="1:6">
      <c r="A55" t="s">
        <v>262</v>
      </c>
      <c r="B55" s="35">
        <f>ROUND(B54/Commitments,1)</f>
        <v>1.0</v>
      </c>
    </row>
  </sheetData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L141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0.7109375" customWidth="1"/>
    <col min="2" max="2" width="15.7109375" customWidth="1"/>
    <col min="3" max="12" width="13.7109375" customWidth="1"/>
  </cols>
  <sheetData>
    <row r="1" spans="1:12" ht="30" customHeight="1">
      <c r="A1" s="12" t="s">
        <v>178</v>
      </c>
    </row>
    <row r="2" spans="1:12">
      <c r="A2" s="13" t="s">
        <v>179</v>
      </c>
    </row>
    <row r="4" spans="1:12">
      <c r="A4" t="s">
        <v>180</v>
      </c>
      <c r="B4" s="51">
        <f>MAX(Lines!$L$6:$L$28)</f>
        <v>8</v>
      </c>
    </row>
    <row r="5" spans="1:12">
      <c r="A5" t="s">
        <v>181</v>
      </c>
      <c r="B5" s="52">
        <f>RunningCost*MAX(0,TermYears-Horizon)</f>
        <v>700000</v>
      </c>
    </row>
    <row r="7" spans="1:12">
      <c r="A7" s="53" t="s">
        <v>182</v>
      </c>
      <c r="B7" s="54" t="s">
        <v>183</v>
      </c>
      <c r="C7" s="55">
        <v>1</v>
      </c>
      <c r="D7" s="55">
        <v>2</v>
      </c>
      <c r="E7" s="55">
        <v>3</v>
      </c>
      <c r="F7" s="55">
        <v>4</v>
      </c>
      <c r="G7" s="55">
        <v>5</v>
      </c>
      <c r="H7" s="55">
        <v>6</v>
      </c>
      <c r="I7" s="55">
        <v>7</v>
      </c>
      <c r="J7" s="55">
        <v>8</v>
      </c>
      <c r="K7" s="55">
        <v>9</v>
      </c>
      <c r="L7" s="55">
        <v>10</v>
      </c>
    </row>
    <row r="9" spans="1:12" ht="20.25" customHeight="1">
      <c r="A9" s="22" t="s">
        <v>184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>
      <c r="A10" s="56" t="s">
        <v>185</v>
      </c>
      <c r="B10" s="52">
        <f>SUM(C10:L10)</f>
        <v>83900000.0</v>
      </c>
      <c r="C10" s="33">
        <f>SUMIFS(Lines!$G$6:$G$28,Lines!$J$6:$J$28,C$7)+SUMIFS(Lines!$I$6:$I$28,Lines!$K$6:$K$28,C$7)</f>
        <v>9000000.0</v>
      </c>
      <c r="D10" s="33">
        <f>SUMIFS(Lines!$G$6:$G$28,Lines!$J$6:$J$28,D$7)+SUMIFS(Lines!$I$6:$I$28,Lines!$K$6:$K$28,D$7)</f>
        <v>22000000.0</v>
      </c>
      <c r="E10" s="33">
        <f>SUMIFS(Lines!$G$6:$G$28,Lines!$J$6:$J$28,E$7)+SUMIFS(Lines!$I$6:$I$28,Lines!$K$6:$K$28,E$7)</f>
        <v>41500000.0</v>
      </c>
      <c r="F10" s="33">
        <f>SUMIFS(Lines!$G$6:$G$28,Lines!$J$6:$J$28,F$7)+SUMIFS(Lines!$I$6:$I$28,Lines!$K$6:$K$28,F$7)</f>
        <v>11400000.0</v>
      </c>
      <c r="G10" s="33">
        <f>SUMIFS(Lines!$G$6:$G$28,Lines!$J$6:$J$28,G$7)+SUMIFS(Lines!$I$6:$I$28,Lines!$K$6:$K$28,G$7)</f>
        <v>0.0</v>
      </c>
      <c r="H10" s="33">
        <f>SUMIFS(Lines!$G$6:$G$28,Lines!$J$6:$J$28,H$7)+SUMIFS(Lines!$I$6:$I$28,Lines!$K$6:$K$28,H$7)</f>
        <v>0.0</v>
      </c>
      <c r="I10" s="33">
        <f>SUMIFS(Lines!$G$6:$G$28,Lines!$J$6:$J$28,I$7)+SUMIFS(Lines!$I$6:$I$28,Lines!$K$6:$K$28,I$7)</f>
        <v>0.0</v>
      </c>
      <c r="J10" s="33">
        <f>SUMIFS(Lines!$G$6:$G$28,Lines!$J$6:$J$28,J$7)+SUMIFS(Lines!$I$6:$I$28,Lines!$K$6:$K$28,J$7)</f>
        <v>0.0</v>
      </c>
      <c r="K10" s="33">
        <f>SUMIFS(Lines!$G$6:$G$28,Lines!$J$6:$J$28,K$7)+SUMIFS(Lines!$I$6:$I$28,Lines!$K$6:$K$28,K$7)</f>
        <v>0.0</v>
      </c>
      <c r="L10" s="33">
        <f>SUMIFS(Lines!$G$6:$G$28,Lines!$J$6:$J$28,L$7)+SUMIFS(Lines!$I$6:$I$28,Lines!$K$6:$K$28,L$7)</f>
        <v>0.0</v>
      </c>
    </row>
    <row r="11" spans="1:12">
      <c r="A11" s="56" t="s">
        <v>186</v>
      </c>
      <c r="B11" s="52">
        <f>SUM(C11:L11)</f>
        <v>307700000.0</v>
      </c>
      <c r="C11" s="33">
        <f>SUMIFS(Lines!$Z$6:$Z$28,Lines!$L$6:$L$28,C$7)+IF(C$7=SecYear,SUM(Lines!$Y$6:$Y$28),0)</f>
        <v>0.0</v>
      </c>
      <c r="D11" s="33">
        <f>SUMIFS(Lines!$Z$6:$Z$28,Lines!$L$6:$L$28,D$7)+IF(D$7=SecYear,SUM(Lines!$Y$6:$Y$28),0)</f>
        <v>0.0</v>
      </c>
      <c r="E11" s="33">
        <f>SUMIFS(Lines!$Z$6:$Z$28,Lines!$L$6:$L$28,E$7)+IF(E$7=SecYear,SUM(Lines!$Y$6:$Y$28),0)</f>
        <v>0.0</v>
      </c>
      <c r="F11" s="33">
        <f>SUMIFS(Lines!$Z$6:$Z$28,Lines!$L$6:$L$28,F$7)+IF(F$7=SecYear,SUM(Lines!$Y$6:$Y$28),0)</f>
        <v>4300000.0</v>
      </c>
      <c r="G11" s="33">
        <f>SUMIFS(Lines!$Z$6:$Z$28,Lines!$L$6:$L$28,G$7)+IF(G$7=SecYear,SUM(Lines!$Y$6:$Y$28),0)</f>
        <v>7500000.0</v>
      </c>
      <c r="H11" s="33">
        <f>SUMIFS(Lines!$Z$6:$Z$28,Lines!$L$6:$L$28,H$7)+IF(H$7=SecYear,SUM(Lines!$Y$6:$Y$28),0)</f>
        <v>74000000.0</v>
      </c>
      <c r="I11" s="33">
        <f>SUMIFS(Lines!$Z$6:$Z$28,Lines!$L$6:$L$28,I$7)+IF(I$7=SecYear,SUM(Lines!$Y$6:$Y$28),0)</f>
        <v>97000000.0</v>
      </c>
      <c r="J11" s="33">
        <f>SUMIFS(Lines!$Z$6:$Z$28,Lines!$L$6:$L$28,J$7)+IF(J$7=SecYear,SUM(Lines!$Y$6:$Y$28),0)</f>
        <v>124900000.0</v>
      </c>
      <c r="K11" s="33">
        <f>SUMIFS(Lines!$Z$6:$Z$28,Lines!$L$6:$L$28,K$7)+IF(K$7=SecYear,SUM(Lines!$Y$6:$Y$28),0)</f>
        <v>0.0</v>
      </c>
      <c r="L11" s="33">
        <f>SUMIFS(Lines!$Z$6:$Z$28,Lines!$L$6:$L$28,L$7)+IF(L$7=SecYear,SUM(Lines!$Y$6:$Y$28),0)</f>
        <v>0.0</v>
      </c>
    </row>
    <row r="12" spans="1:12">
      <c r="A12" s="56" t="s">
        <v>187</v>
      </c>
      <c r="B12" s="52">
        <f>SUM(C12:L12)</f>
        <v>-700000.0</v>
      </c>
      <c r="C12" s="33">
        <f>IF(C$7=Horizon,-TailCost,0)</f>
        <v>0.0</v>
      </c>
      <c r="D12" s="33">
        <f>IF(D$7=Horizon,-TailCost,0)</f>
        <v>0.0</v>
      </c>
      <c r="E12" s="33">
        <f>IF(E$7=Horizon,-TailCost,0)</f>
        <v>0.0</v>
      </c>
      <c r="F12" s="33">
        <f>IF(F$7=Horizon,-TailCost,0)</f>
        <v>0.0</v>
      </c>
      <c r="G12" s="33">
        <f>IF(G$7=Horizon,-TailCost,0)</f>
        <v>0.0</v>
      </c>
      <c r="H12" s="33">
        <f>IF(H$7=Horizon,-TailCost,0)</f>
        <v>0.0</v>
      </c>
      <c r="I12" s="33">
        <f>IF(I$7=Horizon,-TailCost,0)</f>
        <v>0.0</v>
      </c>
      <c r="J12" s="33">
        <f>IF(J$7=Horizon,-TailCost,0)</f>
        <v>-700000</v>
      </c>
      <c r="K12" s="33">
        <f>IF(K$7=Horizon,-TailCost,0)</f>
        <v>0.0</v>
      </c>
      <c r="L12" s="33">
        <f>IF(L$7=Horizon,-TailCost,0)</f>
        <v>0.0</v>
      </c>
    </row>
    <row r="13" spans="1:12">
      <c r="A13" s="6" t="s">
        <v>188</v>
      </c>
      <c r="B13" s="52">
        <f>SUM(C13:L13)</f>
        <v>307000000.0</v>
      </c>
      <c r="C13" s="52">
        <f>C11+C12</f>
        <v>0.0</v>
      </c>
      <c r="D13" s="52">
        <f>D11+D12</f>
        <v>0.0</v>
      </c>
      <c r="E13" s="52">
        <f>E11+E12</f>
        <v>0.0</v>
      </c>
      <c r="F13" s="52">
        <f>F11+F12</f>
        <v>4300000.0</v>
      </c>
      <c r="G13" s="52">
        <f>G11+G12</f>
        <v>7500000.0</v>
      </c>
      <c r="H13" s="52">
        <f>H11+H12</f>
        <v>74000000.0</v>
      </c>
      <c r="I13" s="52">
        <f>I11+I12</f>
        <v>97000000.0</v>
      </c>
      <c r="J13" s="52">
        <f>J11+J12</f>
        <v>124200000.0</v>
      </c>
      <c r="K13" s="52">
        <f>K11+K12</f>
        <v>0.0</v>
      </c>
      <c r="L13" s="52">
        <f>L11+L12</f>
        <v>0.0</v>
      </c>
    </row>
    <row r="14" spans="1:12">
      <c r="A14" s="56" t="s">
        <v>189</v>
      </c>
      <c r="B14" s="52">
        <f>SUM(C14:L14)</f>
        <v>83900000.0</v>
      </c>
      <c r="C14" s="33">
        <f>SUMIFS(Lines!$AB$6:$AB$28,Lines!$L$6:$L$28,C$7)+IF(C$7=SecYear,SUM(Lines!$AA$6:$AA$28),0)</f>
        <v>0.0</v>
      </c>
      <c r="D14" s="33">
        <f>SUMIFS(Lines!$AB$6:$AB$28,Lines!$L$6:$L$28,D$7)+IF(D$7=SecYear,SUM(Lines!$AA$6:$AA$28),0)</f>
        <v>0.0</v>
      </c>
      <c r="E14" s="33">
        <f>SUMIFS(Lines!$AB$6:$AB$28,Lines!$L$6:$L$28,E$7)+IF(E$7=SecYear,SUM(Lines!$AA$6:$AA$28),0)</f>
        <v>0.0</v>
      </c>
      <c r="F14" s="33">
        <f>SUMIFS(Lines!$AB$6:$AB$28,Lines!$L$6:$L$28,F$7)+IF(F$7=SecYear,SUM(Lines!$AA$6:$AA$28),0)</f>
        <v>1300000.0</v>
      </c>
      <c r="G14" s="33">
        <f>SUMIFS(Lines!$AB$6:$AB$28,Lines!$L$6:$L$28,G$7)+IF(G$7=SecYear,SUM(Lines!$AA$6:$AA$28),0)</f>
        <v>6400000.0</v>
      </c>
      <c r="H14" s="33">
        <f>SUMIFS(Lines!$AB$6:$AB$28,Lines!$L$6:$L$28,H$7)+IF(H$7=SecYear,SUM(Lines!$AA$6:$AA$28),0)</f>
        <v>27900000.0</v>
      </c>
      <c r="I14" s="33">
        <f>SUMIFS(Lines!$AB$6:$AB$28,Lines!$L$6:$L$28,I$7)+IF(I$7=SecYear,SUM(Lines!$AA$6:$AA$28),0)</f>
        <v>33300000.0</v>
      </c>
      <c r="J14" s="33">
        <f>SUMIFS(Lines!$AB$6:$AB$28,Lines!$L$6:$L$28,J$7)+IF(J$7=SecYear,SUM(Lines!$AA$6:$AA$28),0)</f>
        <v>15000000.0</v>
      </c>
      <c r="K14" s="33">
        <f>SUMIFS(Lines!$AB$6:$AB$28,Lines!$L$6:$L$28,K$7)+IF(K$7=SecYear,SUM(Lines!$AA$6:$AA$28),0)</f>
        <v>0.0</v>
      </c>
      <c r="L14" s="33">
        <f>SUMIFS(Lines!$AB$6:$AB$28,Lines!$L$6:$L$28,L$7)+IF(L$7=SecYear,SUM(Lines!$AA$6:$AA$28),0)</f>
        <v>0.0</v>
      </c>
    </row>
    <row r="15" spans="1:12">
      <c r="A15" s="56" t="s">
        <v>190</v>
      </c>
      <c r="C15" s="36">
        <f>C10-C14</f>
        <v>9000000.0</v>
      </c>
      <c r="D15" s="36">
        <f>C15+D10-D14</f>
        <v>31000000.0</v>
      </c>
      <c r="E15" s="36">
        <f>D15+E10-E14</f>
        <v>72500000.0</v>
      </c>
      <c r="F15" s="36">
        <f>E15+F10-F14</f>
        <v>82600000.0</v>
      </c>
      <c r="G15" s="36">
        <f>F15+G10-G14</f>
        <v>76200000.0</v>
      </c>
      <c r="H15" s="36">
        <f>G15+H10-H14</f>
        <v>48300000.0</v>
      </c>
      <c r="I15" s="36">
        <f>H15+I10-I14</f>
        <v>15000000.0</v>
      </c>
      <c r="J15" s="36">
        <f>I15+J10-J14</f>
        <v>0.0</v>
      </c>
      <c r="K15" s="36">
        <f>J15+K10-K14</f>
        <v>0.0</v>
      </c>
      <c r="L15" s="36">
        <f>K15+L10-L14</f>
        <v>0.0</v>
      </c>
    </row>
    <row r="16" spans="1:12">
      <c r="A16" s="56" t="s">
        <v>191</v>
      </c>
      <c r="B16" s="52">
        <f>SUM(C16:L16)</f>
        <v>12092500.0</v>
      </c>
      <c r="C16" s="33">
        <f>IF(C$7&gt;Horizon,0,IF(C$7&lt;=IPYears,FeeIP*Commitments,FeePost*MAX(0,0)))</f>
        <v>2000000.0</v>
      </c>
      <c r="D16" s="33">
        <f>IF(D$7&gt;Horizon,0,IF(D$7&lt;=IPYears,FeeIP*Commitments,FeePost*MAX(C15,0)))</f>
        <v>2000000.0</v>
      </c>
      <c r="E16" s="33">
        <f>IF(E$7&gt;Horizon,0,IF(E$7&lt;=IPYears,FeeIP*Commitments,FeePost*MAX(D15,0)))</f>
        <v>2000000.0</v>
      </c>
      <c r="F16" s="33">
        <f>IF(F$7&gt;Horizon,0,IF(F$7&lt;=IPYears,FeeIP*Commitments,FeePost*MAX(E15,0)))</f>
        <v>2000000.0</v>
      </c>
      <c r="G16" s="33">
        <f>IF(G$7&gt;Horizon,0,IF(G$7&lt;=IPYears,FeeIP*Commitments,FeePost*MAX(F15,0)))</f>
        <v>2000000.0</v>
      </c>
      <c r="H16" s="33">
        <f>IF(H$7&gt;Horizon,0,IF(H$7&lt;=IPYears,FeeIP*Commitments,FeePost*MAX(G15,0)))</f>
        <v>1143000.0</v>
      </c>
      <c r="I16" s="33">
        <f>IF(I$7&gt;Horizon,0,IF(I$7&lt;=IPYears,FeeIP*Commitments,FeePost*MAX(H15,0)))</f>
        <v>724500.0</v>
      </c>
      <c r="J16" s="33">
        <f>IF(J$7&gt;Horizon,0,IF(J$7&lt;=IPYears,FeeIP*Commitments,FeePost*MAX(I15,0)))</f>
        <v>225000.0</v>
      </c>
      <c r="K16" s="33">
        <f>IF(K$7&gt;Horizon,0,IF(K$7&lt;=IPYears,FeeIP*Commitments,FeePost*MAX(J15,0)))</f>
        <v>0.0</v>
      </c>
      <c r="L16" s="33">
        <f>IF(L$7&gt;Horizon,0,IF(L$7&lt;=IPYears,FeeIP*Commitments,FeePost*MAX(K15,0)))</f>
        <v>0.0</v>
      </c>
    </row>
    <row r="17" spans="1:12">
      <c r="A17" s="56" t="s">
        <v>192</v>
      </c>
      <c r="B17" s="52">
        <f>SUM(C17:L17)</f>
        <v>3200000.0</v>
      </c>
      <c r="C17" s="33">
        <f>IF(C$7&gt;Horizon,0,RunningCost+IF(C$7=1,SetupCost,0))</f>
        <v>750000</v>
      </c>
      <c r="D17" s="33">
        <f>IF(D$7&gt;Horizon,0,RunningCost+IF(D$7=1,SetupCost,0))</f>
        <v>350000</v>
      </c>
      <c r="E17" s="33">
        <f>IF(E$7&gt;Horizon,0,RunningCost+IF(E$7=1,SetupCost,0))</f>
        <v>350000</v>
      </c>
      <c r="F17" s="33">
        <f>IF(F$7&gt;Horizon,0,RunningCost+IF(F$7=1,SetupCost,0))</f>
        <v>350000</v>
      </c>
      <c r="G17" s="33">
        <f>IF(G$7&gt;Horizon,0,RunningCost+IF(G$7=1,SetupCost,0))</f>
        <v>350000</v>
      </c>
      <c r="H17" s="33">
        <f>IF(H$7&gt;Horizon,0,RunningCost+IF(H$7=1,SetupCost,0))</f>
        <v>350000</v>
      </c>
      <c r="I17" s="33">
        <f>IF(I$7&gt;Horizon,0,RunningCost+IF(I$7=1,SetupCost,0))</f>
        <v>350000</v>
      </c>
      <c r="J17" s="33">
        <f>IF(J$7&gt;Horizon,0,RunningCost+IF(J$7=1,SetupCost,0))</f>
        <v>350000</v>
      </c>
      <c r="K17" s="33">
        <f>IF(K$7&gt;Horizon,0,RunningCost+IF(K$7=1,SetupCost,0))</f>
        <v>0.0</v>
      </c>
      <c r="L17" s="33">
        <f>IF(L$7&gt;Horizon,0,RunningCost+IF(L$7=1,SetupCost,0))</f>
        <v>0.0</v>
      </c>
    </row>
    <row r="18" spans="1:12">
      <c r="A18" s="6" t="s">
        <v>193</v>
      </c>
      <c r="B18" s="52">
        <f>SUM(C18:L18)</f>
        <v>99192500.0</v>
      </c>
      <c r="C18" s="52">
        <f>C10+C16+C17</f>
        <v>11750000.0</v>
      </c>
      <c r="D18" s="52">
        <f>D10+D16+D17</f>
        <v>24350000.0</v>
      </c>
      <c r="E18" s="52">
        <f>E10+E16+E17</f>
        <v>43850000.0</v>
      </c>
      <c r="F18" s="52">
        <f>F10+F16+F17</f>
        <v>13750000.0</v>
      </c>
      <c r="G18" s="52">
        <f>G10+G16+G17</f>
        <v>2350000.0</v>
      </c>
      <c r="H18" s="52">
        <f>H10+H16+H17</f>
        <v>1493000.0</v>
      </c>
      <c r="I18" s="52">
        <f>I10+I16+I17</f>
        <v>1074500.0</v>
      </c>
      <c r="J18" s="52">
        <f>J10+J16+J17</f>
        <v>575000.0</v>
      </c>
      <c r="K18" s="52">
        <f>K10+K16+K17</f>
        <v>0.0</v>
      </c>
      <c r="L18" s="52">
        <f>L10+L16+L17</f>
        <v>0.0</v>
      </c>
    </row>
    <row r="20" spans="1:12">
      <c r="A20" s="56" t="s">
        <v>194</v>
      </c>
      <c r="C20" s="36">
        <f>C18</f>
        <v>11750000.0</v>
      </c>
      <c r="D20" s="36">
        <f>C22*(1+Hurdle)+D18</f>
        <v>37040000.0</v>
      </c>
      <c r="E20" s="36">
        <f>D22*(1+Hurdle)+E18</f>
        <v>83853200.0</v>
      </c>
      <c r="F20" s="36">
        <f>E22*(1+Hurdle)+F18</f>
        <v>104311456.0</v>
      </c>
      <c r="G20" s="36">
        <f>F22*(1+Hurdle)+G18</f>
        <v>110362372.48</v>
      </c>
      <c r="H20" s="36">
        <f>G22*(1+Hurdle)+H18</f>
        <v>112584362.27840002</v>
      </c>
      <c r="I20" s="36">
        <f>H22*(1+Hurdle)+I18</f>
        <v>42745611.260672025</v>
      </c>
      <c r="J20" s="36">
        <f>I22*(1+Hurdle)+J18</f>
        <v>575000.0</v>
      </c>
      <c r="K20" s="36">
        <f>J22*(1+Hurdle)+K18</f>
        <v>0.0</v>
      </c>
      <c r="L20" s="36">
        <f>K22*(1+Hurdle)+L18</f>
        <v>0.0</v>
      </c>
    </row>
    <row r="21" spans="1:12">
      <c r="A21" s="56" t="s">
        <v>195</v>
      </c>
      <c r="B21" s="52">
        <f>SUM(C21:L21)</f>
        <v>129120611.26067203</v>
      </c>
      <c r="C21" s="33">
        <f>MIN(C13,C20)</f>
        <v>0.0</v>
      </c>
      <c r="D21" s="33">
        <f>MIN(D13,D20)</f>
        <v>0.0</v>
      </c>
      <c r="E21" s="33">
        <f>MIN(E13,E20)</f>
        <v>0.0</v>
      </c>
      <c r="F21" s="33">
        <f>MIN(F13,F20)</f>
        <v>4300000.0</v>
      </c>
      <c r="G21" s="33">
        <f>MIN(G13,G20)</f>
        <v>7500000.0</v>
      </c>
      <c r="H21" s="33">
        <f>MIN(H13,H20)</f>
        <v>74000000.0</v>
      </c>
      <c r="I21" s="33">
        <f>MIN(I13,I20)</f>
        <v>42745611.260672025</v>
      </c>
      <c r="J21" s="33">
        <f>MIN(J13,J20)</f>
        <v>575000.0</v>
      </c>
      <c r="K21" s="33">
        <f>MIN(K13,K20)</f>
        <v>0.0</v>
      </c>
      <c r="L21" s="33">
        <f>MIN(L13,L20)</f>
        <v>0.0</v>
      </c>
    </row>
    <row r="22" spans="1:12">
      <c r="A22" s="56" t="s">
        <v>196</v>
      </c>
      <c r="C22" s="36">
        <f>C20-C21</f>
        <v>11750000.0</v>
      </c>
      <c r="D22" s="36">
        <f>D20-D21</f>
        <v>37040000.0</v>
      </c>
      <c r="E22" s="36">
        <f>E20-E21</f>
        <v>83853200.0</v>
      </c>
      <c r="F22" s="36">
        <f>F20-F21</f>
        <v>100011456.0</v>
      </c>
      <c r="G22" s="36">
        <f>G20-G21</f>
        <v>102862372.48</v>
      </c>
      <c r="H22" s="36">
        <f>H20-H21</f>
        <v>38584362.27840002</v>
      </c>
      <c r="I22" s="36">
        <f>I20-I21</f>
        <v>0.0</v>
      </c>
      <c r="J22" s="36">
        <f>J20-J21</f>
        <v>0.0</v>
      </c>
      <c r="K22" s="36">
        <f>K20-K21</f>
        <v>0.0</v>
      </c>
      <c r="L22" s="36">
        <f>L20-L21</f>
        <v>0.0</v>
      </c>
    </row>
    <row r="23" spans="1:12">
      <c r="A23" s="56" t="s">
        <v>197</v>
      </c>
      <c r="C23" s="36">
        <f>C18</f>
        <v>11750000.0</v>
      </c>
      <c r="D23" s="36">
        <f>C23+D18</f>
        <v>36100000.0</v>
      </c>
      <c r="E23" s="36">
        <f>D23+E18</f>
        <v>79950000.0</v>
      </c>
      <c r="F23" s="36">
        <f>E23+F18</f>
        <v>93700000.0</v>
      </c>
      <c r="G23" s="36">
        <f>F23+G18</f>
        <v>96050000.0</v>
      </c>
      <c r="H23" s="36">
        <f>G23+H18</f>
        <v>97543000.0</v>
      </c>
      <c r="I23" s="36">
        <f>H23+I18</f>
        <v>98617500.0</v>
      </c>
      <c r="J23" s="36">
        <f>I23+J18</f>
        <v>99192500.0</v>
      </c>
      <c r="K23" s="36">
        <f>J23+K18</f>
        <v>99192500.0</v>
      </c>
      <c r="L23" s="36">
        <f>K23+L18</f>
        <v>99192500.0</v>
      </c>
    </row>
    <row r="24" spans="1:12">
      <c r="A24" s="56" t="s">
        <v>198</v>
      </c>
      <c r="C24" s="36">
        <f>C13-C21</f>
        <v>0.0</v>
      </c>
      <c r="D24" s="36">
        <f>D13-D21</f>
        <v>0.0</v>
      </c>
      <c r="E24" s="36">
        <f>E13-E21</f>
        <v>0.0</v>
      </c>
      <c r="F24" s="36">
        <f>F13-F21</f>
        <v>0.0</v>
      </c>
      <c r="G24" s="36">
        <f>G13-G21</f>
        <v>0.0</v>
      </c>
      <c r="H24" s="36">
        <f>H13-H21</f>
        <v>0.0</v>
      </c>
      <c r="I24" s="36">
        <f>I13-I21</f>
        <v>54254388.739327975</v>
      </c>
      <c r="J24" s="36">
        <f>J13-J21</f>
        <v>123625000.0</v>
      </c>
      <c r="K24" s="36">
        <f>K13-K21</f>
        <v>0.0</v>
      </c>
      <c r="L24" s="36">
        <f>L13-L21</f>
        <v>0.0</v>
      </c>
    </row>
    <row r="25" spans="1:12">
      <c r="A25" s="56" t="s">
        <v>199</v>
      </c>
      <c r="C25" s="36">
        <f>C21</f>
        <v>0.0</v>
      </c>
      <c r="D25" s="36">
        <f>C30+D21</f>
        <v>0.0</v>
      </c>
      <c r="E25" s="36">
        <f>D30+E21</f>
        <v>0.0</v>
      </c>
      <c r="F25" s="36">
        <f>E30+F21</f>
        <v>4300000.0</v>
      </c>
      <c r="G25" s="36">
        <f>F30+G21</f>
        <v>11800000.0</v>
      </c>
      <c r="H25" s="36">
        <f>G30+H21</f>
        <v>85800000.0</v>
      </c>
      <c r="I25" s="36">
        <f>H30+I21</f>
        <v>128545611.26067203</v>
      </c>
      <c r="J25" s="36">
        <f>I30+J21</f>
        <v>183375000.00000003</v>
      </c>
      <c r="K25" s="36">
        <f>J30+K21</f>
        <v>307000000.0</v>
      </c>
      <c r="L25" s="36">
        <f>K30+L21</f>
        <v>307000000.0</v>
      </c>
    </row>
    <row r="26" spans="1:12">
      <c r="A26" s="56" t="s">
        <v>200</v>
      </c>
      <c r="B26" s="52">
        <f>SUM(C26:L26)</f>
        <v>7482027.8151680175</v>
      </c>
      <c r="C26" s="33">
        <f>IF(C24&gt;0,MIN(C24,MAX(0,(Carry*(C25-C23)-0)/(1-Carry)))*CatchUp,0)</f>
        <v>0.0</v>
      </c>
      <c r="D26" s="33">
        <f>IF(D24&gt;0,MIN(D24,MAX(0,(Carry*(D25-D23)-C31)/(1-Carry)))*CatchUp,0)</f>
        <v>0.0</v>
      </c>
      <c r="E26" s="33">
        <f>IF(E24&gt;0,MIN(E24,MAX(0,(Carry*(E25-E23)-D31)/(1-Carry)))*CatchUp,0)</f>
        <v>0.0</v>
      </c>
      <c r="F26" s="33">
        <f>IF(F24&gt;0,MIN(F24,MAX(0,(Carry*(F25-F23)-E31)/(1-Carry)))*CatchUp,0)</f>
        <v>0.0</v>
      </c>
      <c r="G26" s="33">
        <f>IF(G24&gt;0,MIN(G24,MAX(0,(Carry*(G25-G23)-F31)/(1-Carry)))*CatchUp,0)</f>
        <v>0.0</v>
      </c>
      <c r="H26" s="33">
        <f>IF(H24&gt;0,MIN(H24,MAX(0,(Carry*(H25-H23)-G31)/(1-Carry)))*CatchUp,0)</f>
        <v>0.0</v>
      </c>
      <c r="I26" s="33">
        <f>IF(I24&gt;0,MIN(I24,MAX(0,(Carry*(I25-I23)-H31)/(1-Carry)))*CatchUp,0)</f>
        <v>7482027.815168008</v>
      </c>
      <c r="J26" s="33">
        <f>IF(J24&gt;0,MIN(J24,MAX(0,(Carry*(J25-J23)-I31)/(1-Carry)))*CatchUp,0)</f>
        <v>9.313225746154785e-09</v>
      </c>
      <c r="K26" s="33">
        <f>IF(K24&gt;0,MIN(K24,MAX(0,(Carry*(K25-K23)-J31)/(1-Carry)))*CatchUp,0)</f>
        <v>0.0</v>
      </c>
      <c r="L26" s="33">
        <f>IF(L24&gt;0,MIN(L24,MAX(0,(Carry*(L25-L23)-K31)/(1-Carry)))*CatchUp,0)</f>
        <v>0.0</v>
      </c>
    </row>
    <row r="27" spans="1:12">
      <c r="A27" s="56" t="s">
        <v>201</v>
      </c>
      <c r="C27" s="36">
        <f>C24-C26</f>
        <v>0.0</v>
      </c>
      <c r="D27" s="36">
        <f>D24-D26</f>
        <v>0.0</v>
      </c>
      <c r="E27" s="36">
        <f>E24-E26</f>
        <v>0.0</v>
      </c>
      <c r="F27" s="36">
        <f>F24-F26</f>
        <v>0.0</v>
      </c>
      <c r="G27" s="36">
        <f>G24-G26</f>
        <v>0.0</v>
      </c>
      <c r="H27" s="36">
        <f>H24-H26</f>
        <v>0.0</v>
      </c>
      <c r="I27" s="36">
        <f>I24-I26</f>
        <v>46772360.92415997</v>
      </c>
      <c r="J27" s="36">
        <f>J24-J26</f>
        <v>123624999.99999999</v>
      </c>
      <c r="K27" s="36">
        <f>K24-K26</f>
        <v>0.0</v>
      </c>
      <c r="L27" s="36">
        <f>L24-L26</f>
        <v>0.0</v>
      </c>
    </row>
    <row r="28" spans="1:12">
      <c r="A28" s="56" t="s">
        <v>202</v>
      </c>
      <c r="B28" s="52">
        <f>SUM(C28:L28)</f>
        <v>136317888.73932797</v>
      </c>
      <c r="C28" s="33">
        <f>IF(C27&gt;0,(1-Carry)*C27,0)</f>
        <v>0.0</v>
      </c>
      <c r="D28" s="33">
        <f>IF(D27&gt;0,(1-Carry)*D27,0)</f>
        <v>0.0</v>
      </c>
      <c r="E28" s="33">
        <f>IF(E27&gt;0,(1-Carry)*E27,0)</f>
        <v>0.0</v>
      </c>
      <c r="F28" s="33">
        <f>IF(F27&gt;0,(1-Carry)*F27,0)</f>
        <v>0.0</v>
      </c>
      <c r="G28" s="33">
        <f>IF(G27&gt;0,(1-Carry)*G27,0)</f>
        <v>0.0</v>
      </c>
      <c r="H28" s="33">
        <f>IF(H27&gt;0,(1-Carry)*H27,0)</f>
        <v>0.0</v>
      </c>
      <c r="I28" s="33">
        <f>IF(I27&gt;0,(1-Carry)*I27,0)</f>
        <v>37417888.739327975</v>
      </c>
      <c r="J28" s="33">
        <f>IF(J27&gt;0,(1-Carry)*J27,0)</f>
        <v>98900000.0</v>
      </c>
      <c r="K28" s="33">
        <f>IF(K27&gt;0,(1-Carry)*K27,0)</f>
        <v>0.0</v>
      </c>
      <c r="L28" s="33">
        <f>IF(L27&gt;0,(1-Carry)*L27,0)</f>
        <v>0.0</v>
      </c>
    </row>
    <row r="29" spans="1:12">
      <c r="A29" s="56" t="s">
        <v>203</v>
      </c>
      <c r="B29" s="52">
        <f>SUM(C29:L29)</f>
        <v>34079472.18483199</v>
      </c>
      <c r="C29" s="33">
        <f>IF(C27&gt;0,Carry*C27,0)</f>
        <v>0.0</v>
      </c>
      <c r="D29" s="33">
        <f>IF(D27&gt;0,Carry*D27,0)</f>
        <v>0.0</v>
      </c>
      <c r="E29" s="33">
        <f>IF(E27&gt;0,Carry*E27,0)</f>
        <v>0.0</v>
      </c>
      <c r="F29" s="33">
        <f>IF(F27&gt;0,Carry*F27,0)</f>
        <v>0.0</v>
      </c>
      <c r="G29" s="33">
        <f>IF(G27&gt;0,Carry*G27,0)</f>
        <v>0.0</v>
      </c>
      <c r="H29" s="33">
        <f>IF(H27&gt;0,Carry*H27,0)</f>
        <v>0.0</v>
      </c>
      <c r="I29" s="33">
        <f>IF(I27&gt;0,Carry*I27,0)</f>
        <v>9354472.184831994</v>
      </c>
      <c r="J29" s="33">
        <f>IF(J27&gt;0,Carry*J27,0)</f>
        <v>24725000.0</v>
      </c>
      <c r="K29" s="33">
        <f>IF(K27&gt;0,Carry*K27,0)</f>
        <v>0.0</v>
      </c>
      <c r="L29" s="33">
        <f>IF(L27&gt;0,Carry*L27,0)</f>
        <v>0.0</v>
      </c>
    </row>
    <row r="30" spans="1:12">
      <c r="A30" s="56" t="s">
        <v>204</v>
      </c>
      <c r="C30" s="36">
        <f>C25+C26+IF(C27&gt;0,C27,0)</f>
        <v>0.0</v>
      </c>
      <c r="D30" s="36">
        <f>D25+D26+IF(D27&gt;0,D27,0)</f>
        <v>0.0</v>
      </c>
      <c r="E30" s="36">
        <f>E25+E26+IF(E27&gt;0,E27,0)</f>
        <v>0.0</v>
      </c>
      <c r="F30" s="36">
        <f>F25+F26+IF(F27&gt;0,F27,0)</f>
        <v>4300000.0</v>
      </c>
      <c r="G30" s="36">
        <f>G25+G26+IF(G27&gt;0,G27,0)</f>
        <v>11800000.0</v>
      </c>
      <c r="H30" s="36">
        <f>H25+H26+IF(H27&gt;0,H27,0)</f>
        <v>85800000.0</v>
      </c>
      <c r="I30" s="36">
        <f>I25+I26+IF(I27&gt;0,I27,0)</f>
        <v>182800000.00000003</v>
      </c>
      <c r="J30" s="36">
        <f>J25+J26+IF(J27&gt;0,J27,0)</f>
        <v>307000000.0</v>
      </c>
      <c r="K30" s="36">
        <f>K25+K26+IF(K27&gt;0,K27,0)</f>
        <v>307000000.0</v>
      </c>
      <c r="L30" s="36">
        <f>L25+L26+IF(L27&gt;0,L27,0)</f>
        <v>307000000.0</v>
      </c>
    </row>
    <row r="31" spans="1:12">
      <c r="A31" s="56" t="s">
        <v>205</v>
      </c>
      <c r="C31" s="36">
        <f>C26+C29</f>
        <v>0.0</v>
      </c>
      <c r="D31" s="36">
        <f>C31+D26+D29</f>
        <v>0.0</v>
      </c>
      <c r="E31" s="36">
        <f>D31+E26+E29</f>
        <v>0.0</v>
      </c>
      <c r="F31" s="36">
        <f>E31+F26+F29</f>
        <v>0.0</v>
      </c>
      <c r="G31" s="36">
        <f>F31+G26+G29</f>
        <v>0.0</v>
      </c>
      <c r="H31" s="36">
        <f>G31+H26+H29</f>
        <v>0.0</v>
      </c>
      <c r="I31" s="36">
        <f>H31+I26+I29</f>
        <v>16836500.0</v>
      </c>
      <c r="J31" s="36">
        <f>I31+J26+J29</f>
        <v>41561500.00000001</v>
      </c>
      <c r="K31" s="36">
        <f>J31+K26+K29</f>
        <v>41561500.00000001</v>
      </c>
      <c r="L31" s="36">
        <f>K31+L26+L29</f>
        <v>41561500.00000001</v>
      </c>
    </row>
    <row r="33" spans="1:12">
      <c r="A33" s="6" t="s">
        <v>206</v>
      </c>
      <c r="B33" s="52">
        <f>SUM(C33:L33)</f>
        <v>265438500.0</v>
      </c>
      <c r="C33" s="52">
        <f>C21+C28</f>
        <v>0.0</v>
      </c>
      <c r="D33" s="52">
        <f>D21+D28</f>
        <v>0.0</v>
      </c>
      <c r="E33" s="52">
        <f>E21+E28</f>
        <v>0.0</v>
      </c>
      <c r="F33" s="52">
        <f>F21+F28</f>
        <v>4300000.0</v>
      </c>
      <c r="G33" s="52">
        <f>G21+G28</f>
        <v>7500000.0</v>
      </c>
      <c r="H33" s="52">
        <f>H21+H28</f>
        <v>74000000.0</v>
      </c>
      <c r="I33" s="52">
        <f>I21+I28</f>
        <v>80163500.0</v>
      </c>
      <c r="J33" s="52">
        <f>J21+J28</f>
        <v>99475000.0</v>
      </c>
      <c r="K33" s="52">
        <f>K21+K28</f>
        <v>0.0</v>
      </c>
      <c r="L33" s="52">
        <f>L21+L28</f>
        <v>0.0</v>
      </c>
    </row>
    <row r="34" spans="1:12">
      <c r="A34" s="6" t="s">
        <v>207</v>
      </c>
      <c r="B34" s="52">
        <f>SUM(C34:L34)</f>
        <v>41561500.00000001</v>
      </c>
      <c r="C34" s="52">
        <f>C26+C29</f>
        <v>0.0</v>
      </c>
      <c r="D34" s="52">
        <f>D26+D29</f>
        <v>0.0</v>
      </c>
      <c r="E34" s="52">
        <f>E26+E29</f>
        <v>0.0</v>
      </c>
      <c r="F34" s="52">
        <f>F26+F29</f>
        <v>0.0</v>
      </c>
      <c r="G34" s="52">
        <f>G26+G29</f>
        <v>0.0</v>
      </c>
      <c r="H34" s="52">
        <f>H26+H29</f>
        <v>0.0</v>
      </c>
      <c r="I34" s="52">
        <f>I26+I29</f>
        <v>16836500.0</v>
      </c>
      <c r="J34" s="52">
        <f>J26+J29</f>
        <v>24725000.000000007</v>
      </c>
      <c r="K34" s="52">
        <f>K26+K29</f>
        <v>0.0</v>
      </c>
      <c r="L34" s="52">
        <f>L26+L29</f>
        <v>0.0</v>
      </c>
    </row>
    <row r="35" spans="1:12">
      <c r="A35" s="6" t="s">
        <v>208</v>
      </c>
      <c r="B35" s="52">
        <f>SUM(C35:L35)</f>
        <v>166246000.0</v>
      </c>
      <c r="C35" s="52">
        <f>C33-C18</f>
        <v>-11750000.0</v>
      </c>
      <c r="D35" s="52">
        <f>D33-D18</f>
        <v>-24350000.0</v>
      </c>
      <c r="E35" s="52">
        <f>E33-E18</f>
        <v>-43850000.0</v>
      </c>
      <c r="F35" s="52">
        <f>F33-F18</f>
        <v>-9450000.0</v>
      </c>
      <c r="G35" s="52">
        <f>G33-G18</f>
        <v>5150000.0</v>
      </c>
      <c r="H35" s="52">
        <f>H33-H18</f>
        <v>72507000.0</v>
      </c>
      <c r="I35" s="52">
        <f>I33-I18</f>
        <v>79089000.0</v>
      </c>
      <c r="J35" s="52">
        <f>J33-J18</f>
        <v>98900000.0</v>
      </c>
      <c r="K35" s="52">
        <f>K33-K18</f>
        <v>0.0</v>
      </c>
      <c r="L35" s="52">
        <f>L33-L18</f>
        <v>0.0</v>
      </c>
    </row>
    <row r="36" spans="1:12">
      <c r="A36" s="56" t="s">
        <v>209</v>
      </c>
      <c r="B36" s="52">
        <f>SUM(C36:L36)</f>
        <v>223800000.0</v>
      </c>
      <c r="C36" s="33">
        <f>C11-C10</f>
        <v>-9000000.0</v>
      </c>
      <c r="D36" s="33">
        <f>D11-D10</f>
        <v>-22000000.0</v>
      </c>
      <c r="E36" s="33">
        <f>E11-E10</f>
        <v>-41500000.0</v>
      </c>
      <c r="F36" s="33">
        <f>F11-F10</f>
        <v>-7100000.0</v>
      </c>
      <c r="G36" s="33">
        <f>G11-G10</f>
        <v>7500000.0</v>
      </c>
      <c r="H36" s="33">
        <f>H11-H10</f>
        <v>74000000.0</v>
      </c>
      <c r="I36" s="33">
        <f>I11-I10</f>
        <v>97000000.0</v>
      </c>
      <c r="J36" s="33">
        <f>J11-J10</f>
        <v>124900000.0</v>
      </c>
      <c r="K36" s="33">
        <f>K11-K10</f>
        <v>0.0</v>
      </c>
      <c r="L36" s="33">
        <f>L11-L10</f>
        <v>0.0</v>
      </c>
    </row>
    <row r="38" spans="1:12" ht="20.25" customHeight="1">
      <c r="A38" s="8" t="s">
        <v>210</v>
      </c>
      <c r="B38" s="9"/>
      <c r="C38" s="9"/>
      <c r="D38" s="9"/>
    </row>
    <row r="39" spans="1:12">
      <c r="A39" t="s">
        <v>211</v>
      </c>
      <c r="B39" s="52">
        <f>Lines!S29</f>
        <v>324300000</v>
      </c>
    </row>
    <row r="40" spans="1:12">
      <c r="A40" t="s">
        <v>212</v>
      </c>
      <c r="B40" s="52">
        <f>ROUND((SUM(C11:L11))/IF(ABS(SUM(C11:L11))&lt;1000000,10000,100000),0)*IF(ABS(SUM(C11:L11))&lt;1000000,10000,100000)</f>
        <v>307700000</v>
      </c>
    </row>
    <row r="41" spans="1:12">
      <c r="A41" t="s">
        <v>213</v>
      </c>
      <c r="B41" s="52">
        <f>B39-B40</f>
        <v>16600000</v>
      </c>
    </row>
    <row r="42" spans="1:12">
      <c r="A42" t="s">
        <v>214</v>
      </c>
      <c r="B42" s="52">
        <f>ROUND((SUM(C18:L18))/IF(ABS(SUM(C18:L18))&lt;1000000,10000,100000),0)*IF(ABS(SUM(C18:L18))&lt;1000000,10000,100000)</f>
        <v>99200000</v>
      </c>
    </row>
    <row r="43" spans="1:12">
      <c r="A43" t="s">
        <v>191</v>
      </c>
      <c r="B43" s="52">
        <f>ROUND((SUM(C16:L16))/IF(ABS(SUM(C16:L16))&lt;1000000,10000,100000),0)*IF(ABS(SUM(C16:L16))&lt;1000000,10000,100000)</f>
        <v>12100000</v>
      </c>
    </row>
    <row r="44" spans="1:12">
      <c r="A44" t="s">
        <v>192</v>
      </c>
      <c r="B44" s="52">
        <f>ROUND((SUM(C17:L17)+TailCost)/IF(ABS(SUM(C17:L17)+TailCost)&lt;1000000,10000,100000),0)*IF(ABS(SUM(C17:L17)+TailCost)&lt;1000000,10000,100000)</f>
        <v>3900000</v>
      </c>
    </row>
    <row r="45" spans="1:12">
      <c r="A45" t="s">
        <v>206</v>
      </c>
      <c r="B45" s="52">
        <f>ROUND((SUM(C33:L33))/IF(ABS(SUM(C33:L33))&lt;1000000,10000,100000),0)*IF(ABS(SUM(C33:L33))&lt;1000000,10000,100000)</f>
        <v>265400000</v>
      </c>
    </row>
    <row r="46" spans="1:12">
      <c r="A46" t="s">
        <v>53</v>
      </c>
      <c r="B46" s="52">
        <f>ROUND((SUM(C34:L34))/IF(ABS(SUM(C34:L34))&lt;1000000,10000,100000),0)*IF(ABS(SUM(C34:L34))&lt;1000000,10000,100000)</f>
        <v>41600000</v>
      </c>
    </row>
    <row r="47" spans="1:12">
      <c r="A47" t="s">
        <v>215</v>
      </c>
      <c r="B47" s="57">
        <f>ROUND(SUM(C33:L33)/SUM(C18:L18),1)</f>
        <v>2.7</v>
      </c>
    </row>
    <row r="48" spans="1:12">
      <c r="A48" t="s">
        <v>216</v>
      </c>
      <c r="B48" s="58">
        <f>ROUND(IRR(C35:L35),2)</f>
        <v>0.26</v>
      </c>
    </row>
    <row r="49" spans="1:12">
      <c r="A49" t="s">
        <v>217</v>
      </c>
      <c r="B49" s="58">
        <f>ROUND(IRR(C36:L36),2)</f>
        <v>0.34</v>
      </c>
    </row>
    <row r="50" spans="1:12">
      <c r="A50" t="s">
        <v>218</v>
      </c>
      <c r="B50" s="57">
        <f>ROUND(SUM(C33:H33)/SUM(C18:H18),1)</f>
        <v>0.9</v>
      </c>
    </row>
    <row r="51" spans="1:12">
      <c r="A51" t="s">
        <v>219</v>
      </c>
      <c r="B51" s="52">
        <f>MAX(0,L31-Carry*MAX(0,L30-L23))</f>
        <v>7.450580596923828e-09</v>
      </c>
    </row>
    <row r="54" spans="1:12" ht="20.25" customHeight="1">
      <c r="A54" s="22" t="s">
        <v>220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56" t="s">
        <v>185</v>
      </c>
      <c r="B55" s="52">
        <f>SUM(C55:L55)</f>
        <v>83900000.0</v>
      </c>
      <c r="C55" s="33">
        <f>SUMIFS(Lines!$G$6:$G$28,Lines!$J$6:$J$28,C$7)+SUMIFS(Lines!$I$6:$I$28,Lines!$K$6:$K$28,C$7)</f>
        <v>9000000.0</v>
      </c>
      <c r="D55" s="33">
        <f>SUMIFS(Lines!$G$6:$G$28,Lines!$J$6:$J$28,D$7)+SUMIFS(Lines!$I$6:$I$28,Lines!$K$6:$K$28,D$7)</f>
        <v>22000000.0</v>
      </c>
      <c r="E55" s="33">
        <f>SUMIFS(Lines!$G$6:$G$28,Lines!$J$6:$J$28,E$7)+SUMIFS(Lines!$I$6:$I$28,Lines!$K$6:$K$28,E$7)</f>
        <v>41500000.0</v>
      </c>
      <c r="F55" s="33">
        <f>SUMIFS(Lines!$G$6:$G$28,Lines!$J$6:$J$28,F$7)+SUMIFS(Lines!$I$6:$I$28,Lines!$K$6:$K$28,F$7)</f>
        <v>11400000.0</v>
      </c>
      <c r="G55" s="33">
        <f>SUMIFS(Lines!$G$6:$G$28,Lines!$J$6:$J$28,G$7)+SUMIFS(Lines!$I$6:$I$28,Lines!$K$6:$K$28,G$7)</f>
        <v>0.0</v>
      </c>
      <c r="H55" s="33">
        <f>SUMIFS(Lines!$G$6:$G$28,Lines!$J$6:$J$28,H$7)+SUMIFS(Lines!$I$6:$I$28,Lines!$K$6:$K$28,H$7)</f>
        <v>0.0</v>
      </c>
      <c r="I55" s="33">
        <f>SUMIFS(Lines!$G$6:$G$28,Lines!$J$6:$J$28,I$7)+SUMIFS(Lines!$I$6:$I$28,Lines!$K$6:$K$28,I$7)</f>
        <v>0.0</v>
      </c>
      <c r="J55" s="33">
        <f>SUMIFS(Lines!$G$6:$G$28,Lines!$J$6:$J$28,J$7)+SUMIFS(Lines!$I$6:$I$28,Lines!$K$6:$K$28,J$7)</f>
        <v>0.0</v>
      </c>
      <c r="K55" s="33">
        <f>SUMIFS(Lines!$G$6:$G$28,Lines!$J$6:$J$28,K$7)+SUMIFS(Lines!$I$6:$I$28,Lines!$K$6:$K$28,K$7)</f>
        <v>0.0</v>
      </c>
      <c r="L55" s="33">
        <f>SUMIFS(Lines!$G$6:$G$28,Lines!$J$6:$J$28,L$7)+SUMIFS(Lines!$I$6:$I$28,Lines!$K$6:$K$28,L$7)</f>
        <v>0.0</v>
      </c>
    </row>
    <row r="56" spans="1:12">
      <c r="A56" s="56" t="s">
        <v>186</v>
      </c>
      <c r="B56" s="52">
        <f>SUM(C56:L56)</f>
        <v>184850000.0</v>
      </c>
      <c r="C56" s="33">
        <f>SUMIFS(Lines!$AD$6:$AD$28,Lines!$L$6:$L$28,C$7)+IF(C$7=SecYear,SUM(Lines!$AC$6:$AC$28),0)</f>
        <v>0.0</v>
      </c>
      <c r="D56" s="33">
        <f>SUMIFS(Lines!$AD$6:$AD$28,Lines!$L$6:$L$28,D$7)+IF(D$7=SecYear,SUM(Lines!$AC$6:$AC$28),0)</f>
        <v>0.0</v>
      </c>
      <c r="E56" s="33">
        <f>SUMIFS(Lines!$AD$6:$AD$28,Lines!$L$6:$L$28,E$7)+IF(E$7=SecYear,SUM(Lines!$AC$6:$AC$28),0)</f>
        <v>0.0</v>
      </c>
      <c r="F56" s="33">
        <f>SUMIFS(Lines!$AD$6:$AD$28,Lines!$L$6:$L$28,F$7)+IF(F$7=SecYear,SUM(Lines!$AC$6:$AC$28),0)</f>
        <v>4300000.0</v>
      </c>
      <c r="G56" s="33">
        <f>SUMIFS(Lines!$AD$6:$AD$28,Lines!$L$6:$L$28,G$7)+IF(G$7=SecYear,SUM(Lines!$AC$6:$AC$28),0)</f>
        <v>7500000.0</v>
      </c>
      <c r="H56" s="33">
        <f>SUMIFS(Lines!$AD$6:$AD$28,Lines!$L$6:$L$28,H$7)+IF(H$7=SecYear,SUM(Lines!$AC$6:$AC$28),0)</f>
        <v>47750000.0</v>
      </c>
      <c r="I56" s="33">
        <f>SUMIFS(Lines!$AD$6:$AD$28,Lines!$L$6:$L$28,I$7)+IF(I$7=SecYear,SUM(Lines!$AC$6:$AC$28),0)</f>
        <v>79400000.0</v>
      </c>
      <c r="J56" s="33">
        <f>SUMIFS(Lines!$AD$6:$AD$28,Lines!$L$6:$L$28,J$7)+IF(J$7=SecYear,SUM(Lines!$AC$6:$AC$28),0)</f>
        <v>45900000.0</v>
      </c>
      <c r="K56" s="33">
        <f>SUMIFS(Lines!$AD$6:$AD$28,Lines!$L$6:$L$28,K$7)+IF(K$7=SecYear,SUM(Lines!$AC$6:$AC$28),0)</f>
        <v>0.0</v>
      </c>
      <c r="L56" s="33">
        <f>SUMIFS(Lines!$AD$6:$AD$28,Lines!$L$6:$L$28,L$7)+IF(L$7=SecYear,SUM(Lines!$AC$6:$AC$28),0)</f>
        <v>0.0</v>
      </c>
    </row>
    <row r="57" spans="1:12">
      <c r="A57" s="56" t="s">
        <v>187</v>
      </c>
      <c r="B57" s="52">
        <f>SUM(C57:L57)</f>
        <v>-700000.0</v>
      </c>
      <c r="C57" s="33">
        <f>IF(C$7=Horizon,-TailCost,0)</f>
        <v>0.0</v>
      </c>
      <c r="D57" s="33">
        <f>IF(D$7=Horizon,-TailCost,0)</f>
        <v>0.0</v>
      </c>
      <c r="E57" s="33">
        <f>IF(E$7=Horizon,-TailCost,0)</f>
        <v>0.0</v>
      </c>
      <c r="F57" s="33">
        <f>IF(F$7=Horizon,-TailCost,0)</f>
        <v>0.0</v>
      </c>
      <c r="G57" s="33">
        <f>IF(G$7=Horizon,-TailCost,0)</f>
        <v>0.0</v>
      </c>
      <c r="H57" s="33">
        <f>IF(H$7=Horizon,-TailCost,0)</f>
        <v>0.0</v>
      </c>
      <c r="I57" s="33">
        <f>IF(I$7=Horizon,-TailCost,0)</f>
        <v>0.0</v>
      </c>
      <c r="J57" s="33">
        <f>IF(J$7=Horizon,-TailCost,0)</f>
        <v>-700000</v>
      </c>
      <c r="K57" s="33">
        <f>IF(K$7=Horizon,-TailCost,0)</f>
        <v>0.0</v>
      </c>
      <c r="L57" s="33">
        <f>IF(L$7=Horizon,-TailCost,0)</f>
        <v>0.0</v>
      </c>
    </row>
    <row r="58" spans="1:12">
      <c r="A58" s="6" t="s">
        <v>188</v>
      </c>
      <c r="B58" s="52">
        <f>SUM(C58:L58)</f>
        <v>184150000.0</v>
      </c>
      <c r="C58" s="52">
        <f>C56+C57</f>
        <v>0.0</v>
      </c>
      <c r="D58" s="52">
        <f>D56+D57</f>
        <v>0.0</v>
      </c>
      <c r="E58" s="52">
        <f>E56+E57</f>
        <v>0.0</v>
      </c>
      <c r="F58" s="52">
        <f>F56+F57</f>
        <v>4300000.0</v>
      </c>
      <c r="G58" s="52">
        <f>G56+G57</f>
        <v>7500000.0</v>
      </c>
      <c r="H58" s="52">
        <f>H56+H57</f>
        <v>47750000.0</v>
      </c>
      <c r="I58" s="52">
        <f>I56+I57</f>
        <v>79400000.0</v>
      </c>
      <c r="J58" s="52">
        <f>J56+J57</f>
        <v>45200000.0</v>
      </c>
      <c r="K58" s="52">
        <f>K56+K57</f>
        <v>0.0</v>
      </c>
      <c r="L58" s="52">
        <f>L56+L57</f>
        <v>0.0</v>
      </c>
    </row>
    <row r="59" spans="1:12">
      <c r="A59" s="56" t="s">
        <v>189</v>
      </c>
      <c r="B59" s="52">
        <f>SUM(C59:L59)</f>
        <v>83900000.0</v>
      </c>
      <c r="C59" s="33">
        <f>SUMIFS(Lines!$AF$6:$AF$28,Lines!$L$6:$L$28,C$7)+IF(C$7=SecYear,SUM(Lines!$AE$6:$AE$28),0)</f>
        <v>0.0</v>
      </c>
      <c r="D59" s="33">
        <f>SUMIFS(Lines!$AF$6:$AF$28,Lines!$L$6:$L$28,D$7)+IF(D$7=SecYear,SUM(Lines!$AE$6:$AE$28),0)</f>
        <v>0.0</v>
      </c>
      <c r="E59" s="33">
        <f>SUMIFS(Lines!$AF$6:$AF$28,Lines!$L$6:$L$28,E$7)+IF(E$7=SecYear,SUM(Lines!$AE$6:$AE$28),0)</f>
        <v>0.0</v>
      </c>
      <c r="F59" s="33">
        <f>SUMIFS(Lines!$AF$6:$AF$28,Lines!$L$6:$L$28,F$7)+IF(F$7=SecYear,SUM(Lines!$AE$6:$AE$28),0)</f>
        <v>1300000.0</v>
      </c>
      <c r="G59" s="33">
        <f>SUMIFS(Lines!$AF$6:$AF$28,Lines!$L$6:$L$28,G$7)+IF(G$7=SecYear,SUM(Lines!$AE$6:$AE$28),0)</f>
        <v>6400000.0</v>
      </c>
      <c r="H59" s="33">
        <f>SUMIFS(Lines!$AF$6:$AF$28,Lines!$L$6:$L$28,H$7)+IF(H$7=SecYear,SUM(Lines!$AE$6:$AE$28),0)</f>
        <v>27900000.0</v>
      </c>
      <c r="I59" s="33">
        <f>SUMIFS(Lines!$AF$6:$AF$28,Lines!$L$6:$L$28,I$7)+IF(I$7=SecYear,SUM(Lines!$AE$6:$AE$28),0)</f>
        <v>33300000.0</v>
      </c>
      <c r="J59" s="33">
        <f>SUMIFS(Lines!$AF$6:$AF$28,Lines!$L$6:$L$28,J$7)+IF(J$7=SecYear,SUM(Lines!$AE$6:$AE$28),0)</f>
        <v>15000000.0</v>
      </c>
      <c r="K59" s="33">
        <f>SUMIFS(Lines!$AF$6:$AF$28,Lines!$L$6:$L$28,K$7)+IF(K$7=SecYear,SUM(Lines!$AE$6:$AE$28),0)</f>
        <v>0.0</v>
      </c>
      <c r="L59" s="33">
        <f>SUMIFS(Lines!$AF$6:$AF$28,Lines!$L$6:$L$28,L$7)+IF(L$7=SecYear,SUM(Lines!$AE$6:$AE$28),0)</f>
        <v>0.0</v>
      </c>
    </row>
    <row r="60" spans="1:12">
      <c r="A60" s="56" t="s">
        <v>190</v>
      </c>
      <c r="C60" s="36">
        <f>C55-C59</f>
        <v>9000000.0</v>
      </c>
      <c r="D60" s="36">
        <f>C60+D55-D59</f>
        <v>31000000.0</v>
      </c>
      <c r="E60" s="36">
        <f>D60+E55-E59</f>
        <v>72500000.0</v>
      </c>
      <c r="F60" s="36">
        <f>E60+F55-F59</f>
        <v>82600000.0</v>
      </c>
      <c r="G60" s="36">
        <f>F60+G55-G59</f>
        <v>76200000.0</v>
      </c>
      <c r="H60" s="36">
        <f>G60+H55-H59</f>
        <v>48300000.0</v>
      </c>
      <c r="I60" s="36">
        <f>H60+I55-I59</f>
        <v>15000000.0</v>
      </c>
      <c r="J60" s="36">
        <f>I60+J55-J59</f>
        <v>0.0</v>
      </c>
      <c r="K60" s="36">
        <f>J60+K55-K59</f>
        <v>0.0</v>
      </c>
      <c r="L60" s="36">
        <f>K60+L55-L59</f>
        <v>0.0</v>
      </c>
    </row>
    <row r="61" spans="1:12">
      <c r="A61" s="56" t="s">
        <v>191</v>
      </c>
      <c r="B61" s="52">
        <f>SUM(C61:L61)</f>
        <v>12092500.0</v>
      </c>
      <c r="C61" s="33">
        <f>IF(C$7&gt;Horizon,0,IF(C$7&lt;=IPYears,FeeIP*Commitments,FeePost*MAX(0,0)))</f>
        <v>2000000.0</v>
      </c>
      <c r="D61" s="33">
        <f>IF(D$7&gt;Horizon,0,IF(D$7&lt;=IPYears,FeeIP*Commitments,FeePost*MAX(C60,0)))</f>
        <v>2000000.0</v>
      </c>
      <c r="E61" s="33">
        <f>IF(E$7&gt;Horizon,0,IF(E$7&lt;=IPYears,FeeIP*Commitments,FeePost*MAX(D60,0)))</f>
        <v>2000000.0</v>
      </c>
      <c r="F61" s="33">
        <f>IF(F$7&gt;Horizon,0,IF(F$7&lt;=IPYears,FeeIP*Commitments,FeePost*MAX(E60,0)))</f>
        <v>2000000.0</v>
      </c>
      <c r="G61" s="33">
        <f>IF(G$7&gt;Horizon,0,IF(G$7&lt;=IPYears,FeeIP*Commitments,FeePost*MAX(F60,0)))</f>
        <v>2000000.0</v>
      </c>
      <c r="H61" s="33">
        <f>IF(H$7&gt;Horizon,0,IF(H$7&lt;=IPYears,FeeIP*Commitments,FeePost*MAX(G60,0)))</f>
        <v>1143000.0</v>
      </c>
      <c r="I61" s="33">
        <f>IF(I$7&gt;Horizon,0,IF(I$7&lt;=IPYears,FeeIP*Commitments,FeePost*MAX(H60,0)))</f>
        <v>724500.0</v>
      </c>
      <c r="J61" s="33">
        <f>IF(J$7&gt;Horizon,0,IF(J$7&lt;=IPYears,FeeIP*Commitments,FeePost*MAX(I60,0)))</f>
        <v>225000.0</v>
      </c>
      <c r="K61" s="33">
        <f>IF(K$7&gt;Horizon,0,IF(K$7&lt;=IPYears,FeeIP*Commitments,FeePost*MAX(J60,0)))</f>
        <v>0.0</v>
      </c>
      <c r="L61" s="33">
        <f>IF(L$7&gt;Horizon,0,IF(L$7&lt;=IPYears,FeeIP*Commitments,FeePost*MAX(K60,0)))</f>
        <v>0.0</v>
      </c>
    </row>
    <row r="62" spans="1:12">
      <c r="A62" s="56" t="s">
        <v>192</v>
      </c>
      <c r="B62" s="52">
        <f>SUM(C62:L62)</f>
        <v>3200000.0</v>
      </c>
      <c r="C62" s="33">
        <f>IF(C$7&gt;Horizon,0,RunningCost+IF(C$7=1,SetupCost,0))</f>
        <v>750000</v>
      </c>
      <c r="D62" s="33">
        <f>IF(D$7&gt;Horizon,0,RunningCost+IF(D$7=1,SetupCost,0))</f>
        <v>350000</v>
      </c>
      <c r="E62" s="33">
        <f>IF(E$7&gt;Horizon,0,RunningCost+IF(E$7=1,SetupCost,0))</f>
        <v>350000</v>
      </c>
      <c r="F62" s="33">
        <f>IF(F$7&gt;Horizon,0,RunningCost+IF(F$7=1,SetupCost,0))</f>
        <v>350000</v>
      </c>
      <c r="G62" s="33">
        <f>IF(G$7&gt;Horizon,0,RunningCost+IF(G$7=1,SetupCost,0))</f>
        <v>350000</v>
      </c>
      <c r="H62" s="33">
        <f>IF(H$7&gt;Horizon,0,RunningCost+IF(H$7=1,SetupCost,0))</f>
        <v>350000</v>
      </c>
      <c r="I62" s="33">
        <f>IF(I$7&gt;Horizon,0,RunningCost+IF(I$7=1,SetupCost,0))</f>
        <v>350000</v>
      </c>
      <c r="J62" s="33">
        <f>IF(J$7&gt;Horizon,0,RunningCost+IF(J$7=1,SetupCost,0))</f>
        <v>350000</v>
      </c>
      <c r="K62" s="33">
        <f>IF(K$7&gt;Horizon,0,RunningCost+IF(K$7=1,SetupCost,0))</f>
        <v>0.0</v>
      </c>
      <c r="L62" s="33">
        <f>IF(L$7&gt;Horizon,0,RunningCost+IF(L$7=1,SetupCost,0))</f>
        <v>0.0</v>
      </c>
    </row>
    <row r="63" spans="1:12">
      <c r="A63" s="6" t="s">
        <v>193</v>
      </c>
      <c r="B63" s="52">
        <f>SUM(C63:L63)</f>
        <v>99192500.0</v>
      </c>
      <c r="C63" s="52">
        <f>C55+C61+C62</f>
        <v>11750000.0</v>
      </c>
      <c r="D63" s="52">
        <f>D55+D61+D62</f>
        <v>24350000.0</v>
      </c>
      <c r="E63" s="52">
        <f>E55+E61+E62</f>
        <v>43850000.0</v>
      </c>
      <c r="F63" s="52">
        <f>F55+F61+F62</f>
        <v>13750000.0</v>
      </c>
      <c r="G63" s="52">
        <f>G55+G61+G62</f>
        <v>2350000.0</v>
      </c>
      <c r="H63" s="52">
        <f>H55+H61+H62</f>
        <v>1493000.0</v>
      </c>
      <c r="I63" s="52">
        <f>I55+I61+I62</f>
        <v>1074500.0</v>
      </c>
      <c r="J63" s="52">
        <f>J55+J61+J62</f>
        <v>575000.0</v>
      </c>
      <c r="K63" s="52">
        <f>K55+K61+K62</f>
        <v>0.0</v>
      </c>
      <c r="L63" s="52">
        <f>L55+L61+L62</f>
        <v>0.0</v>
      </c>
    </row>
    <row r="65" spans="1:12">
      <c r="A65" s="56" t="s">
        <v>194</v>
      </c>
      <c r="C65" s="36">
        <f>C63</f>
        <v>11750000.0</v>
      </c>
      <c r="D65" s="36">
        <f>C67*(1+Hurdle)+D63</f>
        <v>37040000.0</v>
      </c>
      <c r="E65" s="36">
        <f>D67*(1+Hurdle)+E63</f>
        <v>83853200.0</v>
      </c>
      <c r="F65" s="36">
        <f>E67*(1+Hurdle)+F63</f>
        <v>104311456.0</v>
      </c>
      <c r="G65" s="36">
        <f>F67*(1+Hurdle)+G63</f>
        <v>110362372.48</v>
      </c>
      <c r="H65" s="36">
        <f>G67*(1+Hurdle)+H63</f>
        <v>112584362.27840002</v>
      </c>
      <c r="I65" s="36">
        <f>H67*(1+Hurdle)+I63</f>
        <v>71095611.26067202</v>
      </c>
      <c r="J65" s="36">
        <f>I67*(1+Hurdle)+J63</f>
        <v>575000.0</v>
      </c>
      <c r="K65" s="36">
        <f>J67*(1+Hurdle)+K63</f>
        <v>0.0</v>
      </c>
      <c r="L65" s="36">
        <f>K67*(1+Hurdle)+L63</f>
        <v>0.0</v>
      </c>
    </row>
    <row r="66" spans="1:12">
      <c r="A66" s="56" t="s">
        <v>195</v>
      </c>
      <c r="B66" s="52">
        <f>SUM(C66:L66)</f>
        <v>131220611.26067202</v>
      </c>
      <c r="C66" s="33">
        <f>MIN(C58,C65)</f>
        <v>0.0</v>
      </c>
      <c r="D66" s="33">
        <f>MIN(D58,D65)</f>
        <v>0.0</v>
      </c>
      <c r="E66" s="33">
        <f>MIN(E58,E65)</f>
        <v>0.0</v>
      </c>
      <c r="F66" s="33">
        <f>MIN(F58,F65)</f>
        <v>4300000.0</v>
      </c>
      <c r="G66" s="33">
        <f>MIN(G58,G65)</f>
        <v>7500000.0</v>
      </c>
      <c r="H66" s="33">
        <f>MIN(H58,H65)</f>
        <v>47750000.0</v>
      </c>
      <c r="I66" s="33">
        <f>MIN(I58,I65)</f>
        <v>71095611.26067202</v>
      </c>
      <c r="J66" s="33">
        <f>MIN(J58,J65)</f>
        <v>575000.0</v>
      </c>
      <c r="K66" s="33">
        <f>MIN(K58,K65)</f>
        <v>0.0</v>
      </c>
      <c r="L66" s="33">
        <f>MIN(L58,L65)</f>
        <v>0.0</v>
      </c>
    </row>
    <row r="67" spans="1:12">
      <c r="A67" s="56" t="s">
        <v>196</v>
      </c>
      <c r="C67" s="36">
        <f>C65-C66</f>
        <v>11750000.0</v>
      </c>
      <c r="D67" s="36">
        <f>D65-D66</f>
        <v>37040000.0</v>
      </c>
      <c r="E67" s="36">
        <f>E65-E66</f>
        <v>83853200.0</v>
      </c>
      <c r="F67" s="36">
        <f>F65-F66</f>
        <v>100011456.0</v>
      </c>
      <c r="G67" s="36">
        <f>G65-G66</f>
        <v>102862372.48</v>
      </c>
      <c r="H67" s="36">
        <f>H65-H66</f>
        <v>64834362.27840002</v>
      </c>
      <c r="I67" s="36">
        <f>I65-I66</f>
        <v>0.0</v>
      </c>
      <c r="J67" s="36">
        <f>J65-J66</f>
        <v>0.0</v>
      </c>
      <c r="K67" s="36">
        <f>K65-K66</f>
        <v>0.0</v>
      </c>
      <c r="L67" s="36">
        <f>L65-L66</f>
        <v>0.0</v>
      </c>
    </row>
    <row r="68" spans="1:12">
      <c r="A68" s="56" t="s">
        <v>197</v>
      </c>
      <c r="C68" s="36">
        <f>C63</f>
        <v>11750000.0</v>
      </c>
      <c r="D68" s="36">
        <f>C68+D63</f>
        <v>36100000.0</v>
      </c>
      <c r="E68" s="36">
        <f>D68+E63</f>
        <v>79950000.0</v>
      </c>
      <c r="F68" s="36">
        <f>E68+F63</f>
        <v>93700000.0</v>
      </c>
      <c r="G68" s="36">
        <f>F68+G63</f>
        <v>96050000.0</v>
      </c>
      <c r="H68" s="36">
        <f>G68+H63</f>
        <v>97543000.0</v>
      </c>
      <c r="I68" s="36">
        <f>H68+I63</f>
        <v>98617500.0</v>
      </c>
      <c r="J68" s="36">
        <f>I68+J63</f>
        <v>99192500.0</v>
      </c>
      <c r="K68" s="36">
        <f>J68+K63</f>
        <v>99192500.0</v>
      </c>
      <c r="L68" s="36">
        <f>K68+L63</f>
        <v>99192500.0</v>
      </c>
    </row>
    <row r="69" spans="1:12">
      <c r="A69" s="56" t="s">
        <v>198</v>
      </c>
      <c r="C69" s="36">
        <f>C58-C66</f>
        <v>0.0</v>
      </c>
      <c r="D69" s="36">
        <f>D58-D66</f>
        <v>0.0</v>
      </c>
      <c r="E69" s="36">
        <f>E58-E66</f>
        <v>0.0</v>
      </c>
      <c r="F69" s="36">
        <f>F58-F66</f>
        <v>0.0</v>
      </c>
      <c r="G69" s="36">
        <f>G58-G66</f>
        <v>0.0</v>
      </c>
      <c r="H69" s="36">
        <f>H58-H66</f>
        <v>0.0</v>
      </c>
      <c r="I69" s="36">
        <f>I58-I66</f>
        <v>8304388.739327982</v>
      </c>
      <c r="J69" s="36">
        <f>J58-J66</f>
        <v>44625000.0</v>
      </c>
      <c r="K69" s="36">
        <f>K58-K66</f>
        <v>0.0</v>
      </c>
      <c r="L69" s="36">
        <f>L58-L66</f>
        <v>0.0</v>
      </c>
    </row>
    <row r="70" spans="1:12">
      <c r="A70" s="56" t="s">
        <v>199</v>
      </c>
      <c r="C70" s="36">
        <f>C66</f>
        <v>0.0</v>
      </c>
      <c r="D70" s="36">
        <f>C75+D66</f>
        <v>0.0</v>
      </c>
      <c r="E70" s="36">
        <f>D75+E66</f>
        <v>0.0</v>
      </c>
      <c r="F70" s="36">
        <f>E75+F66</f>
        <v>4300000.0</v>
      </c>
      <c r="G70" s="36">
        <f>F75+G66</f>
        <v>11800000.0</v>
      </c>
      <c r="H70" s="36">
        <f>G75+H66</f>
        <v>59550000.0</v>
      </c>
      <c r="I70" s="36">
        <f>H75+I66</f>
        <v>130645611.26067202</v>
      </c>
      <c r="J70" s="36">
        <f>I75+J66</f>
        <v>139525000.0</v>
      </c>
      <c r="K70" s="36">
        <f>J75+K66</f>
        <v>184150000.0</v>
      </c>
      <c r="L70" s="36">
        <f>K75+L66</f>
        <v>184150000.0</v>
      </c>
    </row>
    <row r="71" spans="1:12">
      <c r="A71" s="56" t="s">
        <v>200</v>
      </c>
      <c r="B71" s="52">
        <f>SUM(C71:L71)</f>
        <v>8007027.8151680045</v>
      </c>
      <c r="C71" s="33">
        <f>IF(C69&gt;0,MIN(C69,MAX(0,(Carry*(C70-C68)-0)/(1-Carry)))*CatchUp,0)</f>
        <v>0.0</v>
      </c>
      <c r="D71" s="33">
        <f>IF(D69&gt;0,MIN(D69,MAX(0,(Carry*(D70-D68)-C76)/(1-Carry)))*CatchUp,0)</f>
        <v>0.0</v>
      </c>
      <c r="E71" s="33">
        <f>IF(E69&gt;0,MIN(E69,MAX(0,(Carry*(E70-E68)-D76)/(1-Carry)))*CatchUp,0)</f>
        <v>0.0</v>
      </c>
      <c r="F71" s="33">
        <f>IF(F69&gt;0,MIN(F69,MAX(0,(Carry*(F70-F68)-E76)/(1-Carry)))*CatchUp,0)</f>
        <v>0.0</v>
      </c>
      <c r="G71" s="33">
        <f>IF(G69&gt;0,MIN(G69,MAX(0,(Carry*(G70-G68)-F76)/(1-Carry)))*CatchUp,0)</f>
        <v>0.0</v>
      </c>
      <c r="H71" s="33">
        <f>IF(H69&gt;0,MIN(H69,MAX(0,(Carry*(H70-H68)-G76)/(1-Carry)))*CatchUp,0)</f>
        <v>0.0</v>
      </c>
      <c r="I71" s="33">
        <f>IF(I69&gt;0,MIN(I69,MAX(0,(Carry*(I70-I68)-H76)/(1-Carry)))*CatchUp,0)</f>
        <v>8007027.8151680045</v>
      </c>
      <c r="J71" s="33">
        <f>IF(J69&gt;0,MIN(J69,MAX(0,(Carry*(J70-J68)-I76)/(1-Carry)))*CatchUp,0)</f>
        <v>0.0</v>
      </c>
      <c r="K71" s="33">
        <f>IF(K69&gt;0,MIN(K69,MAX(0,(Carry*(K70-K68)-J76)/(1-Carry)))*CatchUp,0)</f>
        <v>0.0</v>
      </c>
      <c r="L71" s="33">
        <f>IF(L69&gt;0,MIN(L69,MAX(0,(Carry*(L70-L68)-K76)/(1-Carry)))*CatchUp,0)</f>
        <v>0.0</v>
      </c>
    </row>
    <row r="72" spans="1:12">
      <c r="A72" s="56" t="s">
        <v>201</v>
      </c>
      <c r="C72" s="36">
        <f>C69-C71</f>
        <v>0.0</v>
      </c>
      <c r="D72" s="36">
        <f>D69-D71</f>
        <v>0.0</v>
      </c>
      <c r="E72" s="36">
        <f>E69-E71</f>
        <v>0.0</v>
      </c>
      <c r="F72" s="36">
        <f>F69-F71</f>
        <v>0.0</v>
      </c>
      <c r="G72" s="36">
        <f>G69-G71</f>
        <v>0.0</v>
      </c>
      <c r="H72" s="36">
        <f>H69-H71</f>
        <v>0.0</v>
      </c>
      <c r="I72" s="36">
        <f>I69-I71</f>
        <v>297360.9241599776</v>
      </c>
      <c r="J72" s="36">
        <f>J69-J71</f>
        <v>44625000.0</v>
      </c>
      <c r="K72" s="36">
        <f>K69-K71</f>
        <v>0.0</v>
      </c>
      <c r="L72" s="36">
        <f>L69-L71</f>
        <v>0.0</v>
      </c>
    </row>
    <row r="73" spans="1:12">
      <c r="A73" s="56" t="s">
        <v>202</v>
      </c>
      <c r="B73" s="52">
        <f>SUM(C73:L73)</f>
        <v>35937888.73932798</v>
      </c>
      <c r="C73" s="33">
        <f>IF(C72&gt;0,(1-Carry)*C72,0)</f>
        <v>0.0</v>
      </c>
      <c r="D73" s="33">
        <f>IF(D72&gt;0,(1-Carry)*D72,0)</f>
        <v>0.0</v>
      </c>
      <c r="E73" s="33">
        <f>IF(E72&gt;0,(1-Carry)*E72,0)</f>
        <v>0.0</v>
      </c>
      <c r="F73" s="33">
        <f>IF(F72&gt;0,(1-Carry)*F72,0)</f>
        <v>0.0</v>
      </c>
      <c r="G73" s="33">
        <f>IF(G72&gt;0,(1-Carry)*G72,0)</f>
        <v>0.0</v>
      </c>
      <c r="H73" s="33">
        <f>IF(H72&gt;0,(1-Carry)*H72,0)</f>
        <v>0.0</v>
      </c>
      <c r="I73" s="33">
        <f>IF(I72&gt;0,(1-Carry)*I72,0)</f>
        <v>237888.73932798207</v>
      </c>
      <c r="J73" s="33">
        <f>IF(J72&gt;0,(1-Carry)*J72,0)</f>
        <v>35700000.0</v>
      </c>
      <c r="K73" s="33">
        <f>IF(K72&gt;0,(1-Carry)*K72,0)</f>
        <v>0.0</v>
      </c>
      <c r="L73" s="33">
        <f>IF(L72&gt;0,(1-Carry)*L72,0)</f>
        <v>0.0</v>
      </c>
    </row>
    <row r="74" spans="1:12">
      <c r="A74" s="56" t="s">
        <v>203</v>
      </c>
      <c r="B74" s="52">
        <f>SUM(C74:L74)</f>
        <v>8984472.184831996</v>
      </c>
      <c r="C74" s="33">
        <f>IF(C72&gt;0,Carry*C72,0)</f>
        <v>0.0</v>
      </c>
      <c r="D74" s="33">
        <f>IF(D72&gt;0,Carry*D72,0)</f>
        <v>0.0</v>
      </c>
      <c r="E74" s="33">
        <f>IF(E72&gt;0,Carry*E72,0)</f>
        <v>0.0</v>
      </c>
      <c r="F74" s="33">
        <f>IF(F72&gt;0,Carry*F72,0)</f>
        <v>0.0</v>
      </c>
      <c r="G74" s="33">
        <f>IF(G72&gt;0,Carry*G72,0)</f>
        <v>0.0</v>
      </c>
      <c r="H74" s="33">
        <f>IF(H72&gt;0,Carry*H72,0)</f>
        <v>0.0</v>
      </c>
      <c r="I74" s="33">
        <f>IF(I72&gt;0,Carry*I72,0)</f>
        <v>59472.18483199552</v>
      </c>
      <c r="J74" s="33">
        <f>IF(J72&gt;0,Carry*J72,0)</f>
        <v>8925000.0</v>
      </c>
      <c r="K74" s="33">
        <f>IF(K72&gt;0,Carry*K72,0)</f>
        <v>0.0</v>
      </c>
      <c r="L74" s="33">
        <f>IF(L72&gt;0,Carry*L72,0)</f>
        <v>0.0</v>
      </c>
    </row>
    <row r="75" spans="1:12">
      <c r="A75" s="56" t="s">
        <v>204</v>
      </c>
      <c r="C75" s="36">
        <f>C70+C71+IF(C72&gt;0,C72,0)</f>
        <v>0.0</v>
      </c>
      <c r="D75" s="36">
        <f>D70+D71+IF(D72&gt;0,D72,0)</f>
        <v>0.0</v>
      </c>
      <c r="E75" s="36">
        <f>E70+E71+IF(E72&gt;0,E72,0)</f>
        <v>0.0</v>
      </c>
      <c r="F75" s="36">
        <f>F70+F71+IF(F72&gt;0,F72,0)</f>
        <v>4300000.0</v>
      </c>
      <c r="G75" s="36">
        <f>G70+G71+IF(G72&gt;0,G72,0)</f>
        <v>11800000.0</v>
      </c>
      <c r="H75" s="36">
        <f>H70+H71+IF(H72&gt;0,H72,0)</f>
        <v>59550000.0</v>
      </c>
      <c r="I75" s="36">
        <f>I70+I71+IF(I72&gt;0,I72,0)</f>
        <v>138950000.0</v>
      </c>
      <c r="J75" s="36">
        <f>J70+J71+IF(J72&gt;0,J72,0)</f>
        <v>184150000.0</v>
      </c>
      <c r="K75" s="36">
        <f>K70+K71+IF(K72&gt;0,K72,0)</f>
        <v>184150000.0</v>
      </c>
      <c r="L75" s="36">
        <f>L70+L71+IF(L72&gt;0,L72,0)</f>
        <v>184150000.0</v>
      </c>
    </row>
    <row r="76" spans="1:12">
      <c r="A76" s="56" t="s">
        <v>205</v>
      </c>
      <c r="C76" s="36">
        <f>C71+C74</f>
        <v>0.0</v>
      </c>
      <c r="D76" s="36">
        <f>C76+D71+D74</f>
        <v>0.0</v>
      </c>
      <c r="E76" s="36">
        <f>D76+E71+E74</f>
        <v>0.0</v>
      </c>
      <c r="F76" s="36">
        <f>E76+F71+F74</f>
        <v>0.0</v>
      </c>
      <c r="G76" s="36">
        <f>F76+G71+G74</f>
        <v>0.0</v>
      </c>
      <c r="H76" s="36">
        <f>G76+H71+H74</f>
        <v>0.0</v>
      </c>
      <c r="I76" s="36">
        <f>H76+I71+I74</f>
        <v>8066500.0</v>
      </c>
      <c r="J76" s="36">
        <f>I76+J71+J74</f>
        <v>16991500.0</v>
      </c>
      <c r="K76" s="36">
        <f>J76+K71+K74</f>
        <v>16991500.0</v>
      </c>
      <c r="L76" s="36">
        <f>K76+L71+L74</f>
        <v>16991500.0</v>
      </c>
    </row>
    <row r="78" spans="1:12">
      <c r="A78" s="6" t="s">
        <v>206</v>
      </c>
      <c r="B78" s="52">
        <f>SUM(C78:L78)</f>
        <v>167158500.0</v>
      </c>
      <c r="C78" s="52">
        <f>C66+C73</f>
        <v>0.0</v>
      </c>
      <c r="D78" s="52">
        <f>D66+D73</f>
        <v>0.0</v>
      </c>
      <c r="E78" s="52">
        <f>E66+E73</f>
        <v>0.0</v>
      </c>
      <c r="F78" s="52">
        <f>F66+F73</f>
        <v>4300000.0</v>
      </c>
      <c r="G78" s="52">
        <f>G66+G73</f>
        <v>7500000.0</v>
      </c>
      <c r="H78" s="52">
        <f>H66+H73</f>
        <v>47750000.0</v>
      </c>
      <c r="I78" s="52">
        <f>I66+I73</f>
        <v>71333500.0</v>
      </c>
      <c r="J78" s="52">
        <f>J66+J73</f>
        <v>36275000.0</v>
      </c>
      <c r="K78" s="52">
        <f>K66+K73</f>
        <v>0.0</v>
      </c>
      <c r="L78" s="52">
        <f>L66+L73</f>
        <v>0.0</v>
      </c>
    </row>
    <row r="79" spans="1:12">
      <c r="A79" s="6" t="s">
        <v>207</v>
      </c>
      <c r="B79" s="52">
        <f>SUM(C79:L79)</f>
        <v>16991500.0</v>
      </c>
      <c r="C79" s="52">
        <f>C71+C74</f>
        <v>0.0</v>
      </c>
      <c r="D79" s="52">
        <f>D71+D74</f>
        <v>0.0</v>
      </c>
      <c r="E79" s="52">
        <f>E71+E74</f>
        <v>0.0</v>
      </c>
      <c r="F79" s="52">
        <f>F71+F74</f>
        <v>0.0</v>
      </c>
      <c r="G79" s="52">
        <f>G71+G74</f>
        <v>0.0</v>
      </c>
      <c r="H79" s="52">
        <f>H71+H74</f>
        <v>0.0</v>
      </c>
      <c r="I79" s="52">
        <f>I71+I74</f>
        <v>8066500.0</v>
      </c>
      <c r="J79" s="52">
        <f>J71+J74</f>
        <v>8925000.0</v>
      </c>
      <c r="K79" s="52">
        <f>K71+K74</f>
        <v>0.0</v>
      </c>
      <c r="L79" s="52">
        <f>L71+L74</f>
        <v>0.0</v>
      </c>
    </row>
    <row r="80" spans="1:12">
      <c r="A80" s="6" t="s">
        <v>208</v>
      </c>
      <c r="B80" s="52">
        <f>SUM(C80:L80)</f>
        <v>67966000.0</v>
      </c>
      <c r="C80" s="52">
        <f>C78-C63</f>
        <v>-11750000.0</v>
      </c>
      <c r="D80" s="52">
        <f>D78-D63</f>
        <v>-24350000.0</v>
      </c>
      <c r="E80" s="52">
        <f>E78-E63</f>
        <v>-43850000.0</v>
      </c>
      <c r="F80" s="52">
        <f>F78-F63</f>
        <v>-9450000.0</v>
      </c>
      <c r="G80" s="52">
        <f>G78-G63</f>
        <v>5150000.0</v>
      </c>
      <c r="H80" s="52">
        <f>H78-H63</f>
        <v>46257000.0</v>
      </c>
      <c r="I80" s="52">
        <f>I78-I63</f>
        <v>70259000.0</v>
      </c>
      <c r="J80" s="52">
        <f>J78-J63</f>
        <v>35700000.0</v>
      </c>
      <c r="K80" s="52">
        <f>K78-K63</f>
        <v>0.0</v>
      </c>
      <c r="L80" s="52">
        <f>L78-L63</f>
        <v>0.0</v>
      </c>
    </row>
    <row r="81" spans="1:12">
      <c r="A81" s="56" t="s">
        <v>209</v>
      </c>
      <c r="B81" s="52">
        <f>SUM(C81:L81)</f>
        <v>100950000.0</v>
      </c>
      <c r="C81" s="33">
        <f>C56-C55</f>
        <v>-9000000.0</v>
      </c>
      <c r="D81" s="33">
        <f>D56-D55</f>
        <v>-22000000.0</v>
      </c>
      <c r="E81" s="33">
        <f>E56-E55</f>
        <v>-41500000.0</v>
      </c>
      <c r="F81" s="33">
        <f>F56-F55</f>
        <v>-7100000.0</v>
      </c>
      <c r="G81" s="33">
        <f>G56-G55</f>
        <v>7500000.0</v>
      </c>
      <c r="H81" s="33">
        <f>H56-H55</f>
        <v>47750000.0</v>
      </c>
      <c r="I81" s="33">
        <f>I56-I55</f>
        <v>79400000.0</v>
      </c>
      <c r="J81" s="33">
        <f>J56-J55</f>
        <v>45900000.0</v>
      </c>
      <c r="K81" s="33">
        <f>K56-K55</f>
        <v>0.0</v>
      </c>
      <c r="L81" s="33">
        <f>L56-L55</f>
        <v>0.0</v>
      </c>
    </row>
    <row r="83" spans="1:12" ht="20.25" customHeight="1">
      <c r="A83" s="8" t="s">
        <v>221</v>
      </c>
      <c r="B83" s="9"/>
      <c r="C83" s="9"/>
      <c r="D83" s="9"/>
    </row>
    <row r="84" spans="1:12">
      <c r="A84" t="s">
        <v>211</v>
      </c>
      <c r="B84" s="52">
        <f>Lines!T29</f>
        <v>190700000</v>
      </c>
    </row>
    <row r="85" spans="1:12">
      <c r="A85" t="s">
        <v>212</v>
      </c>
      <c r="B85" s="52">
        <f>ROUND((SUM(C56:L56))/IF(ABS(SUM(C56:L56))&lt;1000000,10000,100000),0)*IF(ABS(SUM(C56:L56))&lt;1000000,10000,100000)</f>
        <v>184900000</v>
      </c>
    </row>
    <row r="86" spans="1:12">
      <c r="A86" t="s">
        <v>213</v>
      </c>
      <c r="B86" s="52">
        <f>B84-B85</f>
        <v>5800000</v>
      </c>
    </row>
    <row r="87" spans="1:12">
      <c r="A87" t="s">
        <v>214</v>
      </c>
      <c r="B87" s="52">
        <f>ROUND((SUM(C63:L63))/IF(ABS(SUM(C63:L63))&lt;1000000,10000,100000),0)*IF(ABS(SUM(C63:L63))&lt;1000000,10000,100000)</f>
        <v>99200000</v>
      </c>
    </row>
    <row r="88" spans="1:12">
      <c r="A88" t="s">
        <v>191</v>
      </c>
      <c r="B88" s="52">
        <f>ROUND((SUM(C61:L61))/IF(ABS(SUM(C61:L61))&lt;1000000,10000,100000),0)*IF(ABS(SUM(C61:L61))&lt;1000000,10000,100000)</f>
        <v>12100000</v>
      </c>
    </row>
    <row r="89" spans="1:12">
      <c r="A89" t="s">
        <v>192</v>
      </c>
      <c r="B89" s="52">
        <f>ROUND((SUM(C62:L62)+TailCost)/IF(ABS(SUM(C62:L62)+TailCost)&lt;1000000,10000,100000),0)*IF(ABS(SUM(C62:L62)+TailCost)&lt;1000000,10000,100000)</f>
        <v>3900000</v>
      </c>
    </row>
    <row r="90" spans="1:12">
      <c r="A90" t="s">
        <v>206</v>
      </c>
      <c r="B90" s="52">
        <f>ROUND((SUM(C78:L78))/IF(ABS(SUM(C78:L78))&lt;1000000,10000,100000),0)*IF(ABS(SUM(C78:L78))&lt;1000000,10000,100000)</f>
        <v>167200000</v>
      </c>
    </row>
    <row r="91" spans="1:12">
      <c r="A91" t="s">
        <v>53</v>
      </c>
      <c r="B91" s="52">
        <f>ROUND((SUM(C79:L79))/IF(ABS(SUM(C79:L79))&lt;1000000,10000,100000),0)*IF(ABS(SUM(C79:L79))&lt;1000000,10000,100000)</f>
        <v>17000000</v>
      </c>
    </row>
    <row r="92" spans="1:12">
      <c r="A92" t="s">
        <v>215</v>
      </c>
      <c r="B92" s="57">
        <f>ROUND(SUM(C78:L78)/SUM(C63:L63),1)</f>
        <v>1.7</v>
      </c>
    </row>
    <row r="93" spans="1:12">
      <c r="A93" t="s">
        <v>216</v>
      </c>
      <c r="B93" s="58">
        <f>ROUND(IRR(C80:L80),2)</f>
        <v>0.14</v>
      </c>
    </row>
    <row r="94" spans="1:12">
      <c r="A94" t="s">
        <v>217</v>
      </c>
      <c r="B94" s="58">
        <f>ROUND(IRR(C81:L81),2)</f>
        <v>0.21</v>
      </c>
    </row>
    <row r="95" spans="1:12">
      <c r="A95" t="s">
        <v>218</v>
      </c>
      <c r="B95" s="57">
        <f>ROUND(SUM(C78:H78)/SUM(C63:H63),1)</f>
        <v>0.6</v>
      </c>
    </row>
    <row r="96" spans="1:12">
      <c r="A96" t="s">
        <v>219</v>
      </c>
      <c r="B96" s="52">
        <f>MAX(0,L76-Carry*MAX(0,L75-L68))</f>
        <v>0.0</v>
      </c>
    </row>
    <row r="99" spans="1:12" ht="20.25" customHeight="1">
      <c r="A99" s="22" t="s">
        <v>222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56" t="s">
        <v>185</v>
      </c>
      <c r="B100" s="52">
        <f>SUM(C100:L100)</f>
        <v>83900000.0</v>
      </c>
      <c r="C100" s="33">
        <f>SUMIFS(Lines!$G$6:$G$28,Lines!$J$6:$J$28,C$7)+SUMIFS(Lines!$I$6:$I$28,Lines!$K$6:$K$28,C$7)</f>
        <v>9000000.0</v>
      </c>
      <c r="D100" s="33">
        <f>SUMIFS(Lines!$G$6:$G$28,Lines!$J$6:$J$28,D$7)+SUMIFS(Lines!$I$6:$I$28,Lines!$K$6:$K$28,D$7)</f>
        <v>22000000.0</v>
      </c>
      <c r="E100" s="33">
        <f>SUMIFS(Lines!$G$6:$G$28,Lines!$J$6:$J$28,E$7)+SUMIFS(Lines!$I$6:$I$28,Lines!$K$6:$K$28,E$7)</f>
        <v>41500000.0</v>
      </c>
      <c r="F100" s="33">
        <f>SUMIFS(Lines!$G$6:$G$28,Lines!$J$6:$J$28,F$7)+SUMIFS(Lines!$I$6:$I$28,Lines!$K$6:$K$28,F$7)</f>
        <v>11400000.0</v>
      </c>
      <c r="G100" s="33">
        <f>SUMIFS(Lines!$G$6:$G$28,Lines!$J$6:$J$28,G$7)+SUMIFS(Lines!$I$6:$I$28,Lines!$K$6:$K$28,G$7)</f>
        <v>0.0</v>
      </c>
      <c r="H100" s="33">
        <f>SUMIFS(Lines!$G$6:$G$28,Lines!$J$6:$J$28,H$7)+SUMIFS(Lines!$I$6:$I$28,Lines!$K$6:$K$28,H$7)</f>
        <v>0.0</v>
      </c>
      <c r="I100" s="33">
        <f>SUMIFS(Lines!$G$6:$G$28,Lines!$J$6:$J$28,I$7)+SUMIFS(Lines!$I$6:$I$28,Lines!$K$6:$K$28,I$7)</f>
        <v>0.0</v>
      </c>
      <c r="J100" s="33">
        <f>SUMIFS(Lines!$G$6:$G$28,Lines!$J$6:$J$28,J$7)+SUMIFS(Lines!$I$6:$I$28,Lines!$K$6:$K$28,J$7)</f>
        <v>0.0</v>
      </c>
      <c r="K100" s="33">
        <f>SUMIFS(Lines!$G$6:$G$28,Lines!$J$6:$J$28,K$7)+SUMIFS(Lines!$I$6:$I$28,Lines!$K$6:$K$28,K$7)</f>
        <v>0.0</v>
      </c>
      <c r="L100" s="33">
        <f>SUMIFS(Lines!$G$6:$G$28,Lines!$J$6:$J$28,L$7)+SUMIFS(Lines!$I$6:$I$28,Lines!$K$6:$K$28,L$7)</f>
        <v>0.0</v>
      </c>
    </row>
    <row r="101" spans="1:12">
      <c r="A101" s="56" t="s">
        <v>186</v>
      </c>
      <c r="B101" s="52">
        <f>SUM(C101:L101)</f>
        <v>112810000.0</v>
      </c>
      <c r="C101" s="33">
        <f>SUMIFS(Lines!$AH$6:$AH$28,Lines!$L$6:$L$28,C$7)+IF(C$7=SecYear,SUM(Lines!$AG$6:$AG$28),0)</f>
        <v>0.0</v>
      </c>
      <c r="D101" s="33">
        <f>SUMIFS(Lines!$AH$6:$AH$28,Lines!$L$6:$L$28,D$7)+IF(D$7=SecYear,SUM(Lines!$AG$6:$AG$28),0)</f>
        <v>0.0</v>
      </c>
      <c r="E101" s="33">
        <f>SUMIFS(Lines!$AH$6:$AH$28,Lines!$L$6:$L$28,E$7)+IF(E$7=SecYear,SUM(Lines!$AG$6:$AG$28),0)</f>
        <v>0.0</v>
      </c>
      <c r="F101" s="33">
        <f>SUMIFS(Lines!$AH$6:$AH$28,Lines!$L$6:$L$28,F$7)+IF(F$7=SecYear,SUM(Lines!$AG$6:$AG$28),0)</f>
        <v>4300000.0</v>
      </c>
      <c r="G101" s="33">
        <f>SUMIFS(Lines!$AH$6:$AH$28,Lines!$L$6:$L$28,G$7)+IF(G$7=SecYear,SUM(Lines!$AG$6:$AG$28),0)</f>
        <v>7500000.0</v>
      </c>
      <c r="H101" s="33">
        <f>SUMIFS(Lines!$AH$6:$AH$28,Lines!$L$6:$L$28,H$7)+IF(H$7=SecYear,SUM(Lines!$AG$6:$AG$28),0)</f>
        <v>31210000.0</v>
      </c>
      <c r="I101" s="33">
        <f>SUMIFS(Lines!$AH$6:$AH$28,Lines!$L$6:$L$28,I$7)+IF(I$7=SecYear,SUM(Lines!$AG$6:$AG$28),0)</f>
        <v>46800000.0</v>
      </c>
      <c r="J101" s="33">
        <f>SUMIFS(Lines!$AH$6:$AH$28,Lines!$L$6:$L$28,J$7)+IF(J$7=SecYear,SUM(Lines!$AG$6:$AG$28),0)</f>
        <v>23000000.0</v>
      </c>
      <c r="K101" s="33">
        <f>SUMIFS(Lines!$AH$6:$AH$28,Lines!$L$6:$L$28,K$7)+IF(K$7=SecYear,SUM(Lines!$AG$6:$AG$28),0)</f>
        <v>0.0</v>
      </c>
      <c r="L101" s="33">
        <f>SUMIFS(Lines!$AH$6:$AH$28,Lines!$L$6:$L$28,L$7)+IF(L$7=SecYear,SUM(Lines!$AG$6:$AG$28),0)</f>
        <v>0.0</v>
      </c>
    </row>
    <row r="102" spans="1:12">
      <c r="A102" s="56" t="s">
        <v>187</v>
      </c>
      <c r="B102" s="52">
        <f>SUM(C102:L102)</f>
        <v>-700000.0</v>
      </c>
      <c r="C102" s="33">
        <f>IF(C$7=Horizon,-TailCost,0)</f>
        <v>0.0</v>
      </c>
      <c r="D102" s="33">
        <f>IF(D$7=Horizon,-TailCost,0)</f>
        <v>0.0</v>
      </c>
      <c r="E102" s="33">
        <f>IF(E$7=Horizon,-TailCost,0)</f>
        <v>0.0</v>
      </c>
      <c r="F102" s="33">
        <f>IF(F$7=Horizon,-TailCost,0)</f>
        <v>0.0</v>
      </c>
      <c r="G102" s="33">
        <f>IF(G$7=Horizon,-TailCost,0)</f>
        <v>0.0</v>
      </c>
      <c r="H102" s="33">
        <f>IF(H$7=Horizon,-TailCost,0)</f>
        <v>0.0</v>
      </c>
      <c r="I102" s="33">
        <f>IF(I$7=Horizon,-TailCost,0)</f>
        <v>0.0</v>
      </c>
      <c r="J102" s="33">
        <f>IF(J$7=Horizon,-TailCost,0)</f>
        <v>-700000</v>
      </c>
      <c r="K102" s="33">
        <f>IF(K$7=Horizon,-TailCost,0)</f>
        <v>0.0</v>
      </c>
      <c r="L102" s="33">
        <f>IF(L$7=Horizon,-TailCost,0)</f>
        <v>0.0</v>
      </c>
    </row>
    <row r="103" spans="1:12">
      <c r="A103" s="6" t="s">
        <v>188</v>
      </c>
      <c r="B103" s="52">
        <f>SUM(C103:L103)</f>
        <v>112110000.0</v>
      </c>
      <c r="C103" s="52">
        <f>C101+C102</f>
        <v>0.0</v>
      </c>
      <c r="D103" s="52">
        <f>D101+D102</f>
        <v>0.0</v>
      </c>
      <c r="E103" s="52">
        <f>E101+E102</f>
        <v>0.0</v>
      </c>
      <c r="F103" s="52">
        <f>F101+F102</f>
        <v>4300000.0</v>
      </c>
      <c r="G103" s="52">
        <f>G101+G102</f>
        <v>7500000.0</v>
      </c>
      <c r="H103" s="52">
        <f>H101+H102</f>
        <v>31210000.0</v>
      </c>
      <c r="I103" s="52">
        <f>I101+I102</f>
        <v>46800000.0</v>
      </c>
      <c r="J103" s="52">
        <f>J101+J102</f>
        <v>22300000.0</v>
      </c>
      <c r="K103" s="52">
        <f>K101+K102</f>
        <v>0.0</v>
      </c>
      <c r="L103" s="52">
        <f>L101+L102</f>
        <v>0.0</v>
      </c>
    </row>
    <row r="104" spans="1:12">
      <c r="A104" s="56" t="s">
        <v>189</v>
      </c>
      <c r="B104" s="52">
        <f>SUM(C104:L104)</f>
        <v>83900000.0</v>
      </c>
      <c r="C104" s="33">
        <f>SUMIFS(Lines!$AJ$6:$AJ$28,Lines!$L$6:$L$28,C$7)+IF(C$7=SecYear,SUM(Lines!$AI$6:$AI$28),0)</f>
        <v>0.0</v>
      </c>
      <c r="D104" s="33">
        <f>SUMIFS(Lines!$AJ$6:$AJ$28,Lines!$L$6:$L$28,D$7)+IF(D$7=SecYear,SUM(Lines!$AI$6:$AI$28),0)</f>
        <v>0.0</v>
      </c>
      <c r="E104" s="33">
        <f>SUMIFS(Lines!$AJ$6:$AJ$28,Lines!$L$6:$L$28,E$7)+IF(E$7=SecYear,SUM(Lines!$AI$6:$AI$28),0)</f>
        <v>0.0</v>
      </c>
      <c r="F104" s="33">
        <f>SUMIFS(Lines!$AJ$6:$AJ$28,Lines!$L$6:$L$28,F$7)+IF(F$7=SecYear,SUM(Lines!$AI$6:$AI$28),0)</f>
        <v>1300000.0</v>
      </c>
      <c r="G104" s="33">
        <f>SUMIFS(Lines!$AJ$6:$AJ$28,Lines!$L$6:$L$28,G$7)+IF(G$7=SecYear,SUM(Lines!$AI$6:$AI$28),0)</f>
        <v>6400000.0</v>
      </c>
      <c r="H104" s="33">
        <f>SUMIFS(Lines!$AJ$6:$AJ$28,Lines!$L$6:$L$28,H$7)+IF(H$7=SecYear,SUM(Lines!$AI$6:$AI$28),0)</f>
        <v>27900000.0</v>
      </c>
      <c r="I104" s="33">
        <f>SUMIFS(Lines!$AJ$6:$AJ$28,Lines!$L$6:$L$28,I$7)+IF(I$7=SecYear,SUM(Lines!$AI$6:$AI$28),0)</f>
        <v>33300000.0</v>
      </c>
      <c r="J104" s="33">
        <f>SUMIFS(Lines!$AJ$6:$AJ$28,Lines!$L$6:$L$28,J$7)+IF(J$7=SecYear,SUM(Lines!$AI$6:$AI$28),0)</f>
        <v>15000000.0</v>
      </c>
      <c r="K104" s="33">
        <f>SUMIFS(Lines!$AJ$6:$AJ$28,Lines!$L$6:$L$28,K$7)+IF(K$7=SecYear,SUM(Lines!$AI$6:$AI$28),0)</f>
        <v>0.0</v>
      </c>
      <c r="L104" s="33">
        <f>SUMIFS(Lines!$AJ$6:$AJ$28,Lines!$L$6:$L$28,L$7)+IF(L$7=SecYear,SUM(Lines!$AI$6:$AI$28),0)</f>
        <v>0.0</v>
      </c>
    </row>
    <row r="105" spans="1:12">
      <c r="A105" s="56" t="s">
        <v>190</v>
      </c>
      <c r="C105" s="36">
        <f>C100-C104</f>
        <v>9000000.0</v>
      </c>
      <c r="D105" s="36">
        <f>C105+D100-D104</f>
        <v>31000000.0</v>
      </c>
      <c r="E105" s="36">
        <f>D105+E100-E104</f>
        <v>72500000.0</v>
      </c>
      <c r="F105" s="36">
        <f>E105+F100-F104</f>
        <v>82600000.0</v>
      </c>
      <c r="G105" s="36">
        <f>F105+G100-G104</f>
        <v>76200000.0</v>
      </c>
      <c r="H105" s="36">
        <f>G105+H100-H104</f>
        <v>48300000.0</v>
      </c>
      <c r="I105" s="36">
        <f>H105+I100-I104</f>
        <v>15000000.0</v>
      </c>
      <c r="J105" s="36">
        <f>I105+J100-J104</f>
        <v>0.0</v>
      </c>
      <c r="K105" s="36">
        <f>J105+K100-K104</f>
        <v>0.0</v>
      </c>
      <c r="L105" s="36">
        <f>K105+L100-L104</f>
        <v>0.0</v>
      </c>
    </row>
    <row r="106" spans="1:12">
      <c r="A106" s="56" t="s">
        <v>191</v>
      </c>
      <c r="B106" s="52">
        <f>SUM(C106:L106)</f>
        <v>12092500.0</v>
      </c>
      <c r="C106" s="33">
        <f>IF(C$7&gt;Horizon,0,IF(C$7&lt;=IPYears,FeeIP*Commitments,FeePost*MAX(0,0)))</f>
        <v>2000000.0</v>
      </c>
      <c r="D106" s="33">
        <f>IF(D$7&gt;Horizon,0,IF(D$7&lt;=IPYears,FeeIP*Commitments,FeePost*MAX(C105,0)))</f>
        <v>2000000.0</v>
      </c>
      <c r="E106" s="33">
        <f>IF(E$7&gt;Horizon,0,IF(E$7&lt;=IPYears,FeeIP*Commitments,FeePost*MAX(D105,0)))</f>
        <v>2000000.0</v>
      </c>
      <c r="F106" s="33">
        <f>IF(F$7&gt;Horizon,0,IF(F$7&lt;=IPYears,FeeIP*Commitments,FeePost*MAX(E105,0)))</f>
        <v>2000000.0</v>
      </c>
      <c r="G106" s="33">
        <f>IF(G$7&gt;Horizon,0,IF(G$7&lt;=IPYears,FeeIP*Commitments,FeePost*MAX(F105,0)))</f>
        <v>2000000.0</v>
      </c>
      <c r="H106" s="33">
        <f>IF(H$7&gt;Horizon,0,IF(H$7&lt;=IPYears,FeeIP*Commitments,FeePost*MAX(G105,0)))</f>
        <v>1143000.0</v>
      </c>
      <c r="I106" s="33">
        <f>IF(I$7&gt;Horizon,0,IF(I$7&lt;=IPYears,FeeIP*Commitments,FeePost*MAX(H105,0)))</f>
        <v>724500.0</v>
      </c>
      <c r="J106" s="33">
        <f>IF(J$7&gt;Horizon,0,IF(J$7&lt;=IPYears,FeeIP*Commitments,FeePost*MAX(I105,0)))</f>
        <v>225000.0</v>
      </c>
      <c r="K106" s="33">
        <f>IF(K$7&gt;Horizon,0,IF(K$7&lt;=IPYears,FeeIP*Commitments,FeePost*MAX(J105,0)))</f>
        <v>0.0</v>
      </c>
      <c r="L106" s="33">
        <f>IF(L$7&gt;Horizon,0,IF(L$7&lt;=IPYears,FeeIP*Commitments,FeePost*MAX(K105,0)))</f>
        <v>0.0</v>
      </c>
    </row>
    <row r="107" spans="1:12">
      <c r="A107" s="56" t="s">
        <v>192</v>
      </c>
      <c r="B107" s="52">
        <f>SUM(C107:L107)</f>
        <v>3200000.0</v>
      </c>
      <c r="C107" s="33">
        <f>IF(C$7&gt;Horizon,0,RunningCost+IF(C$7=1,SetupCost,0))</f>
        <v>750000</v>
      </c>
      <c r="D107" s="33">
        <f>IF(D$7&gt;Horizon,0,RunningCost+IF(D$7=1,SetupCost,0))</f>
        <v>350000</v>
      </c>
      <c r="E107" s="33">
        <f>IF(E$7&gt;Horizon,0,RunningCost+IF(E$7=1,SetupCost,0))</f>
        <v>350000</v>
      </c>
      <c r="F107" s="33">
        <f>IF(F$7&gt;Horizon,0,RunningCost+IF(F$7=1,SetupCost,0))</f>
        <v>350000</v>
      </c>
      <c r="G107" s="33">
        <f>IF(G$7&gt;Horizon,0,RunningCost+IF(G$7=1,SetupCost,0))</f>
        <v>350000</v>
      </c>
      <c r="H107" s="33">
        <f>IF(H$7&gt;Horizon,0,RunningCost+IF(H$7=1,SetupCost,0))</f>
        <v>350000</v>
      </c>
      <c r="I107" s="33">
        <f>IF(I$7&gt;Horizon,0,RunningCost+IF(I$7=1,SetupCost,0))</f>
        <v>350000</v>
      </c>
      <c r="J107" s="33">
        <f>IF(J$7&gt;Horizon,0,RunningCost+IF(J$7=1,SetupCost,0))</f>
        <v>350000</v>
      </c>
      <c r="K107" s="33">
        <f>IF(K$7&gt;Horizon,0,RunningCost+IF(K$7=1,SetupCost,0))</f>
        <v>0.0</v>
      </c>
      <c r="L107" s="33">
        <f>IF(L$7&gt;Horizon,0,RunningCost+IF(L$7=1,SetupCost,0))</f>
        <v>0.0</v>
      </c>
    </row>
    <row r="108" spans="1:12">
      <c r="A108" s="6" t="s">
        <v>193</v>
      </c>
      <c r="B108" s="52">
        <f>SUM(C108:L108)</f>
        <v>99192500.0</v>
      </c>
      <c r="C108" s="52">
        <f>C100+C106+C107</f>
        <v>11750000.0</v>
      </c>
      <c r="D108" s="52">
        <f>D100+D106+D107</f>
        <v>24350000.0</v>
      </c>
      <c r="E108" s="52">
        <f>E100+E106+E107</f>
        <v>43850000.0</v>
      </c>
      <c r="F108" s="52">
        <f>F100+F106+F107</f>
        <v>13750000.0</v>
      </c>
      <c r="G108" s="52">
        <f>G100+G106+G107</f>
        <v>2350000.0</v>
      </c>
      <c r="H108" s="52">
        <f>H100+H106+H107</f>
        <v>1493000.0</v>
      </c>
      <c r="I108" s="52">
        <f>I100+I106+I107</f>
        <v>1074500.0</v>
      </c>
      <c r="J108" s="52">
        <f>J100+J106+J107</f>
        <v>575000.0</v>
      </c>
      <c r="K108" s="52">
        <f>K100+K106+K107</f>
        <v>0.0</v>
      </c>
      <c r="L108" s="52">
        <f>L100+L106+L107</f>
        <v>0.0</v>
      </c>
    </row>
    <row r="110" spans="1:12">
      <c r="A110" s="56" t="s">
        <v>194</v>
      </c>
      <c r="C110" s="36">
        <f>C108</f>
        <v>11750000.0</v>
      </c>
      <c r="D110" s="36">
        <f>C112*(1+Hurdle)+D108</f>
        <v>37040000.0</v>
      </c>
      <c r="E110" s="36">
        <f>D112*(1+Hurdle)+E108</f>
        <v>83853200.0</v>
      </c>
      <c r="F110" s="36">
        <f>E112*(1+Hurdle)+F108</f>
        <v>104311456.0</v>
      </c>
      <c r="G110" s="36">
        <f>F112*(1+Hurdle)+G108</f>
        <v>110362372.48</v>
      </c>
      <c r="H110" s="36">
        <f>G112*(1+Hurdle)+H108</f>
        <v>112584362.27840002</v>
      </c>
      <c r="I110" s="36">
        <f>H112*(1+Hurdle)+I108</f>
        <v>88958811.26067203</v>
      </c>
      <c r="J110" s="36">
        <f>I112*(1+Hurdle)+J108</f>
        <v>46106516.1615258</v>
      </c>
      <c r="K110" s="36">
        <f>J112*(1+Hurdle)+K108</f>
        <v>25711037.454447865</v>
      </c>
      <c r="L110" s="36">
        <f>K112*(1+Hurdle)+L108</f>
        <v>27767920.450803697</v>
      </c>
    </row>
    <row r="111" spans="1:12">
      <c r="A111" s="56" t="s">
        <v>195</v>
      </c>
      <c r="B111" s="52">
        <f>SUM(C111:L111)</f>
        <v>112110000.0</v>
      </c>
      <c r="C111" s="33">
        <f>MIN(C103,C110)</f>
        <v>0.0</v>
      </c>
      <c r="D111" s="33">
        <f>MIN(D103,D110)</f>
        <v>0.0</v>
      </c>
      <c r="E111" s="33">
        <f>MIN(E103,E110)</f>
        <v>0.0</v>
      </c>
      <c r="F111" s="33">
        <f>MIN(F103,F110)</f>
        <v>4300000.0</v>
      </c>
      <c r="G111" s="33">
        <f>MIN(G103,G110)</f>
        <v>7500000.0</v>
      </c>
      <c r="H111" s="33">
        <f>MIN(H103,H110)</f>
        <v>31210000.0</v>
      </c>
      <c r="I111" s="33">
        <f>MIN(I103,I110)</f>
        <v>46800000.0</v>
      </c>
      <c r="J111" s="33">
        <f>MIN(J103,J110)</f>
        <v>22300000.0</v>
      </c>
      <c r="K111" s="33">
        <f>MIN(K103,K110)</f>
        <v>0.0</v>
      </c>
      <c r="L111" s="33">
        <f>MIN(L103,L110)</f>
        <v>0.0</v>
      </c>
    </row>
    <row r="112" spans="1:12">
      <c r="A112" s="56" t="s">
        <v>196</v>
      </c>
      <c r="C112" s="36">
        <f>C110-C111</f>
        <v>11750000.0</v>
      </c>
      <c r="D112" s="36">
        <f>D110-D111</f>
        <v>37040000.0</v>
      </c>
      <c r="E112" s="36">
        <f>E110-E111</f>
        <v>83853200.0</v>
      </c>
      <c r="F112" s="36">
        <f>F110-F111</f>
        <v>100011456.0</v>
      </c>
      <c r="G112" s="36">
        <f>G110-G111</f>
        <v>102862372.48</v>
      </c>
      <c r="H112" s="36">
        <f>H110-H111</f>
        <v>81374362.27840002</v>
      </c>
      <c r="I112" s="36">
        <f>I110-I111</f>
        <v>42158811.26067203</v>
      </c>
      <c r="J112" s="36">
        <f>J110-J111</f>
        <v>23806516.1615258</v>
      </c>
      <c r="K112" s="36">
        <f>K110-K111</f>
        <v>25711037.454447865</v>
      </c>
      <c r="L112" s="36">
        <f>L110-L111</f>
        <v>27767920.450803697</v>
      </c>
    </row>
    <row r="113" spans="1:12">
      <c r="A113" s="56" t="s">
        <v>197</v>
      </c>
      <c r="C113" s="36">
        <f>C108</f>
        <v>11750000.0</v>
      </c>
      <c r="D113" s="36">
        <f>C113+D108</f>
        <v>36100000.0</v>
      </c>
      <c r="E113" s="36">
        <f>D113+E108</f>
        <v>79950000.0</v>
      </c>
      <c r="F113" s="36">
        <f>E113+F108</f>
        <v>93700000.0</v>
      </c>
      <c r="G113" s="36">
        <f>F113+G108</f>
        <v>96050000.0</v>
      </c>
      <c r="H113" s="36">
        <f>G113+H108</f>
        <v>97543000.0</v>
      </c>
      <c r="I113" s="36">
        <f>H113+I108</f>
        <v>98617500.0</v>
      </c>
      <c r="J113" s="36">
        <f>I113+J108</f>
        <v>99192500.0</v>
      </c>
      <c r="K113" s="36">
        <f>J113+K108</f>
        <v>99192500.0</v>
      </c>
      <c r="L113" s="36">
        <f>K113+L108</f>
        <v>99192500.0</v>
      </c>
    </row>
    <row r="114" spans="1:12">
      <c r="A114" s="56" t="s">
        <v>198</v>
      </c>
      <c r="C114" s="36">
        <f>C103-C111</f>
        <v>0.0</v>
      </c>
      <c r="D114" s="36">
        <f>D103-D111</f>
        <v>0.0</v>
      </c>
      <c r="E114" s="36">
        <f>E103-E111</f>
        <v>0.0</v>
      </c>
      <c r="F114" s="36">
        <f>F103-F111</f>
        <v>0.0</v>
      </c>
      <c r="G114" s="36">
        <f>G103-G111</f>
        <v>0.0</v>
      </c>
      <c r="H114" s="36">
        <f>H103-H111</f>
        <v>0.0</v>
      </c>
      <c r="I114" s="36">
        <f>I103-I111</f>
        <v>0.0</v>
      </c>
      <c r="J114" s="36">
        <f>J103-J111</f>
        <v>0.0</v>
      </c>
      <c r="K114" s="36">
        <f>K103-K111</f>
        <v>0.0</v>
      </c>
      <c r="L114" s="36">
        <f>L103-L111</f>
        <v>0.0</v>
      </c>
    </row>
    <row r="115" spans="1:12">
      <c r="A115" s="56" t="s">
        <v>199</v>
      </c>
      <c r="C115" s="36">
        <f>C111</f>
        <v>0.0</v>
      </c>
      <c r="D115" s="36">
        <f>C120+D111</f>
        <v>0.0</v>
      </c>
      <c r="E115" s="36">
        <f>D120+E111</f>
        <v>0.0</v>
      </c>
      <c r="F115" s="36">
        <f>E120+F111</f>
        <v>4300000.0</v>
      </c>
      <c r="G115" s="36">
        <f>F120+G111</f>
        <v>11800000.0</v>
      </c>
      <c r="H115" s="36">
        <f>G120+H111</f>
        <v>43010000.0</v>
      </c>
      <c r="I115" s="36">
        <f>H120+I111</f>
        <v>89810000.0</v>
      </c>
      <c r="J115" s="36">
        <f>I120+J111</f>
        <v>112110000.0</v>
      </c>
      <c r="K115" s="36">
        <f>J120+K111</f>
        <v>112110000.0</v>
      </c>
      <c r="L115" s="36">
        <f>K120+L111</f>
        <v>112110000.0</v>
      </c>
    </row>
    <row r="116" spans="1:12">
      <c r="A116" s="56" t="s">
        <v>200</v>
      </c>
      <c r="B116" s="52">
        <f>SUM(C116:L116)</f>
        <v>0.0</v>
      </c>
      <c r="C116" s="33">
        <f>IF(C114&gt;0,MIN(C114,MAX(0,(Carry*(C115-C113)-0)/(1-Carry)))*CatchUp,0)</f>
        <v>0.0</v>
      </c>
      <c r="D116" s="33">
        <f>IF(D114&gt;0,MIN(D114,MAX(0,(Carry*(D115-D113)-C121)/(1-Carry)))*CatchUp,0)</f>
        <v>0.0</v>
      </c>
      <c r="E116" s="33">
        <f>IF(E114&gt;0,MIN(E114,MAX(0,(Carry*(E115-E113)-D121)/(1-Carry)))*CatchUp,0)</f>
        <v>0.0</v>
      </c>
      <c r="F116" s="33">
        <f>IF(F114&gt;0,MIN(F114,MAX(0,(Carry*(F115-F113)-E121)/(1-Carry)))*CatchUp,0)</f>
        <v>0.0</v>
      </c>
      <c r="G116" s="33">
        <f>IF(G114&gt;0,MIN(G114,MAX(0,(Carry*(G115-G113)-F121)/(1-Carry)))*CatchUp,0)</f>
        <v>0.0</v>
      </c>
      <c r="H116" s="33">
        <f>IF(H114&gt;0,MIN(H114,MAX(0,(Carry*(H115-H113)-G121)/(1-Carry)))*CatchUp,0)</f>
        <v>0.0</v>
      </c>
      <c r="I116" s="33">
        <f>IF(I114&gt;0,MIN(I114,MAX(0,(Carry*(I115-I113)-H121)/(1-Carry)))*CatchUp,0)</f>
        <v>0.0</v>
      </c>
      <c r="J116" s="33">
        <f>IF(J114&gt;0,MIN(J114,MAX(0,(Carry*(J115-J113)-I121)/(1-Carry)))*CatchUp,0)</f>
        <v>0.0</v>
      </c>
      <c r="K116" s="33">
        <f>IF(K114&gt;0,MIN(K114,MAX(0,(Carry*(K115-K113)-J121)/(1-Carry)))*CatchUp,0)</f>
        <v>0.0</v>
      </c>
      <c r="L116" s="33">
        <f>IF(L114&gt;0,MIN(L114,MAX(0,(Carry*(L115-L113)-K121)/(1-Carry)))*CatchUp,0)</f>
        <v>0.0</v>
      </c>
    </row>
    <row r="117" spans="1:12">
      <c r="A117" s="56" t="s">
        <v>201</v>
      </c>
      <c r="C117" s="36">
        <f>C114-C116</f>
        <v>0.0</v>
      </c>
      <c r="D117" s="36">
        <f>D114-D116</f>
        <v>0.0</v>
      </c>
      <c r="E117" s="36">
        <f>E114-E116</f>
        <v>0.0</v>
      </c>
      <c r="F117" s="36">
        <f>F114-F116</f>
        <v>0.0</v>
      </c>
      <c r="G117" s="36">
        <f>G114-G116</f>
        <v>0.0</v>
      </c>
      <c r="H117" s="36">
        <f>H114-H116</f>
        <v>0.0</v>
      </c>
      <c r="I117" s="36">
        <f>I114-I116</f>
        <v>0.0</v>
      </c>
      <c r="J117" s="36">
        <f>J114-J116</f>
        <v>0.0</v>
      </c>
      <c r="K117" s="36">
        <f>K114-K116</f>
        <v>0.0</v>
      </c>
      <c r="L117" s="36">
        <f>L114-L116</f>
        <v>0.0</v>
      </c>
    </row>
    <row r="118" spans="1:12">
      <c r="A118" s="56" t="s">
        <v>202</v>
      </c>
      <c r="B118" s="52">
        <f>SUM(C118:L118)</f>
        <v>0.0</v>
      </c>
      <c r="C118" s="33">
        <f>IF(C117&gt;0,(1-Carry)*C117,0)</f>
        <v>0.0</v>
      </c>
      <c r="D118" s="33">
        <f>IF(D117&gt;0,(1-Carry)*D117,0)</f>
        <v>0.0</v>
      </c>
      <c r="E118" s="33">
        <f>IF(E117&gt;0,(1-Carry)*E117,0)</f>
        <v>0.0</v>
      </c>
      <c r="F118" s="33">
        <f>IF(F117&gt;0,(1-Carry)*F117,0)</f>
        <v>0.0</v>
      </c>
      <c r="G118" s="33">
        <f>IF(G117&gt;0,(1-Carry)*G117,0)</f>
        <v>0.0</v>
      </c>
      <c r="H118" s="33">
        <f>IF(H117&gt;0,(1-Carry)*H117,0)</f>
        <v>0.0</v>
      </c>
      <c r="I118" s="33">
        <f>IF(I117&gt;0,(1-Carry)*I117,0)</f>
        <v>0.0</v>
      </c>
      <c r="J118" s="33">
        <f>IF(J117&gt;0,(1-Carry)*J117,0)</f>
        <v>0.0</v>
      </c>
      <c r="K118" s="33">
        <f>IF(K117&gt;0,(1-Carry)*K117,0)</f>
        <v>0.0</v>
      </c>
      <c r="L118" s="33">
        <f>IF(L117&gt;0,(1-Carry)*L117,0)</f>
        <v>0.0</v>
      </c>
    </row>
    <row r="119" spans="1:12">
      <c r="A119" s="56" t="s">
        <v>203</v>
      </c>
      <c r="B119" s="52">
        <f>SUM(C119:L119)</f>
        <v>0.0</v>
      </c>
      <c r="C119" s="33">
        <f>IF(C117&gt;0,Carry*C117,0)</f>
        <v>0.0</v>
      </c>
      <c r="D119" s="33">
        <f>IF(D117&gt;0,Carry*D117,0)</f>
        <v>0.0</v>
      </c>
      <c r="E119" s="33">
        <f>IF(E117&gt;0,Carry*E117,0)</f>
        <v>0.0</v>
      </c>
      <c r="F119" s="33">
        <f>IF(F117&gt;0,Carry*F117,0)</f>
        <v>0.0</v>
      </c>
      <c r="G119" s="33">
        <f>IF(G117&gt;0,Carry*G117,0)</f>
        <v>0.0</v>
      </c>
      <c r="H119" s="33">
        <f>IF(H117&gt;0,Carry*H117,0)</f>
        <v>0.0</v>
      </c>
      <c r="I119" s="33">
        <f>IF(I117&gt;0,Carry*I117,0)</f>
        <v>0.0</v>
      </c>
      <c r="J119" s="33">
        <f>IF(J117&gt;0,Carry*J117,0)</f>
        <v>0.0</v>
      </c>
      <c r="K119" s="33">
        <f>IF(K117&gt;0,Carry*K117,0)</f>
        <v>0.0</v>
      </c>
      <c r="L119" s="33">
        <f>IF(L117&gt;0,Carry*L117,0)</f>
        <v>0.0</v>
      </c>
    </row>
    <row r="120" spans="1:12">
      <c r="A120" s="56" t="s">
        <v>204</v>
      </c>
      <c r="C120" s="36">
        <f>C115+C116+IF(C117&gt;0,C117,0)</f>
        <v>0.0</v>
      </c>
      <c r="D120" s="36">
        <f>D115+D116+IF(D117&gt;0,D117,0)</f>
        <v>0.0</v>
      </c>
      <c r="E120" s="36">
        <f>E115+E116+IF(E117&gt;0,E117,0)</f>
        <v>0.0</v>
      </c>
      <c r="F120" s="36">
        <f>F115+F116+IF(F117&gt;0,F117,0)</f>
        <v>4300000.0</v>
      </c>
      <c r="G120" s="36">
        <f>G115+G116+IF(G117&gt;0,G117,0)</f>
        <v>11800000.0</v>
      </c>
      <c r="H120" s="36">
        <f>H115+H116+IF(H117&gt;0,H117,0)</f>
        <v>43010000.0</v>
      </c>
      <c r="I120" s="36">
        <f>I115+I116+IF(I117&gt;0,I117,0)</f>
        <v>89810000.0</v>
      </c>
      <c r="J120" s="36">
        <f>J115+J116+IF(J117&gt;0,J117,0)</f>
        <v>112110000.0</v>
      </c>
      <c r="K120" s="36">
        <f>K115+K116+IF(K117&gt;0,K117,0)</f>
        <v>112110000.0</v>
      </c>
      <c r="L120" s="36">
        <f>L115+L116+IF(L117&gt;0,L117,0)</f>
        <v>112110000.0</v>
      </c>
    </row>
    <row r="121" spans="1:12">
      <c r="A121" s="56" t="s">
        <v>205</v>
      </c>
      <c r="C121" s="36">
        <f>C116+C119</f>
        <v>0.0</v>
      </c>
      <c r="D121" s="36">
        <f>C121+D116+D119</f>
        <v>0.0</v>
      </c>
      <c r="E121" s="36">
        <f>D121+E116+E119</f>
        <v>0.0</v>
      </c>
      <c r="F121" s="36">
        <f>E121+F116+F119</f>
        <v>0.0</v>
      </c>
      <c r="G121" s="36">
        <f>F121+G116+G119</f>
        <v>0.0</v>
      </c>
      <c r="H121" s="36">
        <f>G121+H116+H119</f>
        <v>0.0</v>
      </c>
      <c r="I121" s="36">
        <f>H121+I116+I119</f>
        <v>0.0</v>
      </c>
      <c r="J121" s="36">
        <f>I121+J116+J119</f>
        <v>0.0</v>
      </c>
      <c r="K121" s="36">
        <f>J121+K116+K119</f>
        <v>0.0</v>
      </c>
      <c r="L121" s="36">
        <f>K121+L116+L119</f>
        <v>0.0</v>
      </c>
    </row>
    <row r="123" spans="1:12">
      <c r="A123" s="6" t="s">
        <v>206</v>
      </c>
      <c r="B123" s="52">
        <f>SUM(C123:L123)</f>
        <v>112110000.0</v>
      </c>
      <c r="C123" s="52">
        <f>C111+C118</f>
        <v>0.0</v>
      </c>
      <c r="D123" s="52">
        <f>D111+D118</f>
        <v>0.0</v>
      </c>
      <c r="E123" s="52">
        <f>E111+E118</f>
        <v>0.0</v>
      </c>
      <c r="F123" s="52">
        <f>F111+F118</f>
        <v>4300000.0</v>
      </c>
      <c r="G123" s="52">
        <f>G111+G118</f>
        <v>7500000.0</v>
      </c>
      <c r="H123" s="52">
        <f>H111+H118</f>
        <v>31210000.0</v>
      </c>
      <c r="I123" s="52">
        <f>I111+I118</f>
        <v>46800000.0</v>
      </c>
      <c r="J123" s="52">
        <f>J111+J118</f>
        <v>22300000.0</v>
      </c>
      <c r="K123" s="52">
        <f>K111+K118</f>
        <v>0.0</v>
      </c>
      <c r="L123" s="52">
        <f>L111+L118</f>
        <v>0.0</v>
      </c>
    </row>
    <row r="124" spans="1:12">
      <c r="A124" s="6" t="s">
        <v>207</v>
      </c>
      <c r="B124" s="52">
        <f>SUM(C124:L124)</f>
        <v>0.0</v>
      </c>
      <c r="C124" s="52">
        <f>C116+C119</f>
        <v>0.0</v>
      </c>
      <c r="D124" s="52">
        <f>D116+D119</f>
        <v>0.0</v>
      </c>
      <c r="E124" s="52">
        <f>E116+E119</f>
        <v>0.0</v>
      </c>
      <c r="F124" s="52">
        <f>F116+F119</f>
        <v>0.0</v>
      </c>
      <c r="G124" s="52">
        <f>G116+G119</f>
        <v>0.0</v>
      </c>
      <c r="H124" s="52">
        <f>H116+H119</f>
        <v>0.0</v>
      </c>
      <c r="I124" s="52">
        <f>I116+I119</f>
        <v>0.0</v>
      </c>
      <c r="J124" s="52">
        <f>J116+J119</f>
        <v>0.0</v>
      </c>
      <c r="K124" s="52">
        <f>K116+K119</f>
        <v>0.0</v>
      </c>
      <c r="L124" s="52">
        <f>L116+L119</f>
        <v>0.0</v>
      </c>
    </row>
    <row r="125" spans="1:12">
      <c r="A125" s="6" t="s">
        <v>208</v>
      </c>
      <c r="B125" s="52">
        <f>SUM(C125:L125)</f>
        <v>12917500.0</v>
      </c>
      <c r="C125" s="52">
        <f>C123-C108</f>
        <v>-11750000.0</v>
      </c>
      <c r="D125" s="52">
        <f>D123-D108</f>
        <v>-24350000.0</v>
      </c>
      <c r="E125" s="52">
        <f>E123-E108</f>
        <v>-43850000.0</v>
      </c>
      <c r="F125" s="52">
        <f>F123-F108</f>
        <v>-9450000.0</v>
      </c>
      <c r="G125" s="52">
        <f>G123-G108</f>
        <v>5150000.0</v>
      </c>
      <c r="H125" s="52">
        <f>H123-H108</f>
        <v>29717000.0</v>
      </c>
      <c r="I125" s="52">
        <f>I123-I108</f>
        <v>45725500.0</v>
      </c>
      <c r="J125" s="52">
        <f>J123-J108</f>
        <v>21725000.0</v>
      </c>
      <c r="K125" s="52">
        <f>K123-K108</f>
        <v>0.0</v>
      </c>
      <c r="L125" s="52">
        <f>L123-L108</f>
        <v>0.0</v>
      </c>
    </row>
    <row r="126" spans="1:12">
      <c r="A126" s="56" t="s">
        <v>209</v>
      </c>
      <c r="B126" s="52">
        <f>SUM(C126:L126)</f>
        <v>28910000.0</v>
      </c>
      <c r="C126" s="33">
        <f>C101-C100</f>
        <v>-9000000.0</v>
      </c>
      <c r="D126" s="33">
        <f>D101-D100</f>
        <v>-22000000.0</v>
      </c>
      <c r="E126" s="33">
        <f>E101-E100</f>
        <v>-41500000.0</v>
      </c>
      <c r="F126" s="33">
        <f>F101-F100</f>
        <v>-7100000.0</v>
      </c>
      <c r="G126" s="33">
        <f>G101-G100</f>
        <v>7500000.0</v>
      </c>
      <c r="H126" s="33">
        <f>H101-H100</f>
        <v>31210000.0</v>
      </c>
      <c r="I126" s="33">
        <f>I101-I100</f>
        <v>46800000.0</v>
      </c>
      <c r="J126" s="33">
        <f>J101-J100</f>
        <v>23000000.0</v>
      </c>
      <c r="K126" s="33">
        <f>K101-K100</f>
        <v>0.0</v>
      </c>
      <c r="L126" s="33">
        <f>L101-L100</f>
        <v>0.0</v>
      </c>
    </row>
    <row r="128" spans="1:12" ht="20.25" customHeight="1">
      <c r="A128" s="8" t="s">
        <v>223</v>
      </c>
      <c r="B128" s="9"/>
      <c r="C128" s="9"/>
      <c r="D128" s="9"/>
    </row>
    <row r="129" spans="1:2">
      <c r="A129" t="s">
        <v>211</v>
      </c>
      <c r="B129" s="52">
        <f>Lines!U29</f>
        <v>115800000</v>
      </c>
    </row>
    <row r="130" spans="1:2">
      <c r="A130" t="s">
        <v>212</v>
      </c>
      <c r="B130" s="52">
        <f>ROUND((SUM(C101:L101))/IF(ABS(SUM(C101:L101))&lt;1000000,10000,100000),0)*IF(ABS(SUM(C101:L101))&lt;1000000,10000,100000)</f>
        <v>112800000</v>
      </c>
    </row>
    <row r="131" spans="1:2">
      <c r="A131" t="s">
        <v>213</v>
      </c>
      <c r="B131" s="52">
        <f>B129-B130</f>
        <v>3000000</v>
      </c>
    </row>
    <row r="132" spans="1:2">
      <c r="A132" t="s">
        <v>214</v>
      </c>
      <c r="B132" s="52">
        <f>ROUND((SUM(C108:L108))/IF(ABS(SUM(C108:L108))&lt;1000000,10000,100000),0)*IF(ABS(SUM(C108:L108))&lt;1000000,10000,100000)</f>
        <v>99200000</v>
      </c>
    </row>
    <row r="133" spans="1:2">
      <c r="A133" t="s">
        <v>191</v>
      </c>
      <c r="B133" s="52">
        <f>ROUND((SUM(C106:L106))/IF(ABS(SUM(C106:L106))&lt;1000000,10000,100000),0)*IF(ABS(SUM(C106:L106))&lt;1000000,10000,100000)</f>
        <v>12100000</v>
      </c>
    </row>
    <row r="134" spans="1:2">
      <c r="A134" t="s">
        <v>192</v>
      </c>
      <c r="B134" s="52">
        <f>ROUND((SUM(C107:L107)+TailCost)/IF(ABS(SUM(C107:L107)+TailCost)&lt;1000000,10000,100000),0)*IF(ABS(SUM(C107:L107)+TailCost)&lt;1000000,10000,100000)</f>
        <v>3900000</v>
      </c>
    </row>
    <row r="135" spans="1:2">
      <c r="A135" t="s">
        <v>206</v>
      </c>
      <c r="B135" s="52">
        <f>ROUND((SUM(C123:L123))/IF(ABS(SUM(C123:L123))&lt;1000000,10000,100000),0)*IF(ABS(SUM(C123:L123))&lt;1000000,10000,100000)</f>
        <v>112100000</v>
      </c>
    </row>
    <row r="136" spans="1:2">
      <c r="A136" t="s">
        <v>53</v>
      </c>
      <c r="B136" s="52">
        <f>ROUND((SUM(C124:L124))/IF(ABS(SUM(C124:L124))&lt;1000000,10000,100000),0)*IF(ABS(SUM(C124:L124))&lt;1000000,10000,100000)</f>
        <v>0</v>
      </c>
    </row>
    <row r="137" spans="1:2">
      <c r="A137" t="s">
        <v>215</v>
      </c>
      <c r="B137" s="57">
        <f>ROUND(SUM(C123:L123)/SUM(C108:L108),1)</f>
        <v>1.1</v>
      </c>
    </row>
    <row r="138" spans="1:2">
      <c r="A138" t="s">
        <v>216</v>
      </c>
      <c r="B138" s="58">
        <f>ROUND(IRR(C125:L125),2)</f>
        <v>0.03</v>
      </c>
    </row>
    <row r="139" spans="1:2">
      <c r="A139" t="s">
        <v>217</v>
      </c>
      <c r="B139" s="58">
        <f>ROUND(IRR(C126:L126),2)</f>
        <v>0.08</v>
      </c>
    </row>
    <row r="140" spans="1:2">
      <c r="A140" t="s">
        <v>218</v>
      </c>
      <c r="B140" s="57">
        <f>ROUND(SUM(C123:H123)/SUM(C108:H108),1)</f>
        <v>0.4</v>
      </c>
    </row>
    <row r="141" spans="1:2">
      <c r="A141" t="s">
        <v>219</v>
      </c>
      <c r="B141" s="52">
        <f>MAX(0,L121-Carry*MAX(0,L120-L113))</f>
        <v>0.0</v>
      </c>
    </row>
  </sheetData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27C99"/>
    <pageSetUpPr fitToPage="1"/>
  </sheetPr>
  <dimension ref="A1:D29"/>
  <sheetViews>
    <sheetView showGridLines="0" workbookViewId="0"/>
  </sheetViews>
  <sheetFormatPr defaultRowHeight="15"/>
  <cols>
    <col min="1" max="1" width="40.7109375" customWidth="1"/>
    <col min="2" max="4" width="16.7109375" customWidth="1"/>
    <col min="5" max="5" width="4.7109375" customWidth="1"/>
  </cols>
  <sheetData>
    <row r="1" spans="1:4" ht="30" customHeight="1">
      <c r="A1" s="12" t="s">
        <v>263</v>
      </c>
    </row>
    <row r="2" spans="1:4">
      <c r="A2" s="13" t="s">
        <v>264</v>
      </c>
    </row>
    <row r="4" spans="1:4">
      <c r="A4" s="22" t="s">
        <v>265</v>
      </c>
      <c r="B4" s="59" t="s">
        <v>266</v>
      </c>
      <c r="C4" s="59" t="s">
        <v>267</v>
      </c>
      <c r="D4" s="59" t="s">
        <v>268</v>
      </c>
    </row>
    <row r="5" spans="1:4">
      <c r="A5" s="60" t="s">
        <v>269</v>
      </c>
      <c r="B5" s="61">
        <f>Commitments</f>
        <v>100000000</v>
      </c>
      <c r="C5" s="62">
        <f>Commitments</f>
        <v>100000000</v>
      </c>
      <c r="D5" s="62">
        <f>Commitments</f>
        <v>100000000</v>
      </c>
    </row>
    <row r="6" spans="1:4">
      <c r="A6" s="60" t="s">
        <v>211</v>
      </c>
      <c r="B6" s="61">
        <f>'Cash flows'!$B$39</f>
        <v>324300000</v>
      </c>
      <c r="C6" s="62">
        <f>'Cash flows'!$B$84</f>
        <v>190700000</v>
      </c>
      <c r="D6" s="62">
        <f>'Cash flows'!$B$129</f>
        <v>115800000</v>
      </c>
    </row>
    <row r="7" spans="1:4">
      <c r="A7" s="60" t="s">
        <v>270</v>
      </c>
      <c r="B7" s="63">
        <f>'Cash flows'!$B$41</f>
        <v>16600000</v>
      </c>
      <c r="C7" s="64">
        <f>'Cash flows'!$B$86</f>
        <v>5800000</v>
      </c>
      <c r="D7" s="64">
        <f>'Cash flows'!$B$131</f>
        <v>3000000</v>
      </c>
    </row>
    <row r="8" spans="1:4">
      <c r="A8" s="60" t="s">
        <v>215</v>
      </c>
      <c r="B8" s="65">
        <f>'Cash flows'!$B$47</f>
        <v>2.7</v>
      </c>
      <c r="C8" s="66">
        <f>'Cash flows'!$B$92</f>
        <v>1.7</v>
      </c>
      <c r="D8" s="66">
        <f>'Cash flows'!$B$137</f>
        <v>1.1</v>
      </c>
    </row>
    <row r="9" spans="1:4">
      <c r="A9" s="60" t="s">
        <v>216</v>
      </c>
      <c r="B9" s="67">
        <f>'Cash flows'!$B$48</f>
        <v>0.26</v>
      </c>
      <c r="C9" s="68">
        <f>'Cash flows'!$B$93</f>
        <v>0.14</v>
      </c>
      <c r="D9" s="68">
        <f>'Cash flows'!$B$138</f>
        <v>0.03</v>
      </c>
    </row>
    <row r="10" spans="1:4">
      <c r="A10" s="60" t="s">
        <v>218</v>
      </c>
      <c r="B10" s="65">
        <f>'Cash flows'!$B$50</f>
        <v>0.9</v>
      </c>
      <c r="C10" s="66">
        <f>'Cash flows'!$B$95</f>
        <v>0.6</v>
      </c>
      <c r="D10" s="66">
        <f>'Cash flows'!$B$140</f>
        <v>0.4</v>
      </c>
    </row>
    <row r="11" spans="1:4">
      <c r="A11" s="60" t="s">
        <v>271</v>
      </c>
      <c r="B11" s="65">
        <f>Construction!$L$6</f>
        <v>6.7</v>
      </c>
      <c r="C11" s="66">
        <f>Construction!$M$6</f>
        <v>3.7</v>
      </c>
      <c r="D11" s="66">
        <f>Construction!$N$6</f>
        <v>2.4</v>
      </c>
    </row>
    <row r="12" spans="1:4">
      <c r="A12" s="60" t="s">
        <v>272</v>
      </c>
      <c r="B12" s="65">
        <f>Construction!$L$7</f>
        <v>3.3</v>
      </c>
      <c r="C12" s="66">
        <f>Construction!$M$7</f>
        <v>2.2</v>
      </c>
      <c r="D12" s="66">
        <f>Construction!$N$7</f>
        <v>1.4</v>
      </c>
    </row>
    <row r="13" spans="1:4">
      <c r="A13" s="60" t="s">
        <v>273</v>
      </c>
      <c r="B13" s="65">
        <f>Construction!$L$8</f>
        <v>3.1</v>
      </c>
      <c r="C13" s="66">
        <f>Construction!$M$8</f>
        <v>1.6</v>
      </c>
      <c r="D13" s="66">
        <f>Construction!$N$8</f>
        <v>0.9</v>
      </c>
    </row>
    <row r="15" spans="1:4">
      <c r="A15" s="3" t="s">
        <v>274</v>
      </c>
    </row>
    <row r="16" spans="1:4">
      <c r="A16" s="60" t="s">
        <v>214</v>
      </c>
      <c r="B16" s="61">
        <f>'Cash flows'!$B$42</f>
        <v>99200000</v>
      </c>
      <c r="C16" s="62">
        <f>'Cash flows'!$B$87</f>
        <v>99200000</v>
      </c>
      <c r="D16" s="62">
        <f>'Cash flows'!$B$132</f>
        <v>99200000</v>
      </c>
    </row>
    <row r="17" spans="1:4">
      <c r="A17" s="60" t="s">
        <v>206</v>
      </c>
      <c r="B17" s="61">
        <f>'Cash flows'!$B$45</f>
        <v>265400000</v>
      </c>
      <c r="C17" s="62">
        <f>'Cash flows'!$B$90</f>
        <v>167200000</v>
      </c>
      <c r="D17" s="62">
        <f>'Cash flows'!$B$135</f>
        <v>112100000</v>
      </c>
    </row>
    <row r="18" spans="1:4">
      <c r="A18" s="60" t="s">
        <v>53</v>
      </c>
      <c r="B18" s="61">
        <f>'Cash flows'!$B$46</f>
        <v>41600000</v>
      </c>
      <c r="C18" s="62">
        <f>'Cash flows'!$B$91</f>
        <v>17000000</v>
      </c>
      <c r="D18" s="62">
        <f>'Cash flows'!$B$136</f>
        <v>0</v>
      </c>
    </row>
    <row r="19" spans="1:4">
      <c r="A19" s="60" t="s">
        <v>217</v>
      </c>
      <c r="B19" s="67">
        <f>'Cash flows'!$B$49</f>
        <v>0.34</v>
      </c>
      <c r="C19" s="68">
        <f>'Cash flows'!$B$94</f>
        <v>0.21</v>
      </c>
      <c r="D19" s="68">
        <f>'Cash flows'!$B$139</f>
        <v>0.08</v>
      </c>
    </row>
    <row r="21" spans="1:4">
      <c r="A21" s="69" t="s">
        <v>275</v>
      </c>
      <c r="B21" s="69"/>
      <c r="C21" s="69"/>
      <c r="D21" s="69"/>
    </row>
    <row r="22" spans="1:4">
      <c r="A22" s="69"/>
      <c r="B22" s="69"/>
      <c r="C22" s="69"/>
      <c r="D22" s="69"/>
    </row>
    <row r="23" spans="1:4">
      <c r="A23" s="69"/>
      <c r="B23" s="69"/>
      <c r="C23" s="69"/>
      <c r="D23" s="69"/>
    </row>
    <row r="24" spans="1:4">
      <c r="A24" s="69"/>
      <c r="B24" s="69"/>
      <c r="C24" s="69"/>
      <c r="D24" s="69"/>
    </row>
    <row r="25" spans="1:4">
      <c r="A25" s="69"/>
      <c r="B25" s="69"/>
      <c r="C25" s="69"/>
      <c r="D25" s="69"/>
    </row>
    <row r="27" spans="1:4">
      <c r="A27" s="69" t="s">
        <v>4</v>
      </c>
      <c r="B27" s="69"/>
      <c r="C27" s="69"/>
      <c r="D27" s="69"/>
    </row>
    <row r="28" spans="1:4">
      <c r="A28" s="69"/>
      <c r="B28" s="69"/>
      <c r="C28" s="69"/>
      <c r="D28" s="69"/>
    </row>
    <row r="29" spans="1:4">
      <c r="A29" s="69"/>
      <c r="B29" s="69"/>
      <c r="C29" s="69"/>
      <c r="D29" s="69"/>
    </row>
  </sheetData>
  <mergeCells count="2">
    <mergeCell ref="A21:D25"/>
    <mergeCell ref="A27:D29"/>
  </mergeCell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8A4C"/>
    <pageSetUpPr fitToPage="1"/>
  </sheetPr>
  <dimension ref="A1:E271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52.7109375" customWidth="1"/>
    <col min="2" max="4" width="18.7109375" customWidth="1"/>
    <col min="5" max="5" width="10.7109375" customWidth="1"/>
  </cols>
  <sheetData>
    <row r="1" spans="1:5" ht="30" customHeight="1">
      <c r="A1" s="12" t="s">
        <v>276</v>
      </c>
    </row>
    <row r="2" spans="1:5">
      <c r="A2" s="13" t="s">
        <v>277</v>
      </c>
    </row>
    <row r="4" spans="1:5">
      <c r="A4" s="70" t="str">
        <f>IF(COUNTIF(Checks!$E$7:$E$271,"CHECK")=0,"ALL CHECKS PASS","CHECK FAILED")</f>
        <v>ALL CHECKS PASS</v>
      </c>
      <c r="B4" s="71">
        <f>COUNTIF(Checks!$E$7:$E$271,"OK")</f>
        <v>263</v>
      </c>
    </row>
    <row r="6" spans="1:5">
      <c r="A6" s="54" t="s">
        <v>278</v>
      </c>
      <c r="B6" s="54" t="s">
        <v>279</v>
      </c>
      <c r="C6" s="54" t="s">
        <v>280</v>
      </c>
      <c r="D6" s="54" t="s">
        <v>281</v>
      </c>
      <c r="E6" s="54" t="s">
        <v>6</v>
      </c>
    </row>
    <row r="7" spans="1:5">
      <c r="A7" t="s">
        <v>282</v>
      </c>
      <c r="B7" s="33">
        <f>'Cash flows'!$B$39</f>
        <v>324300000</v>
      </c>
      <c r="C7" s="33">
        <v>324300000</v>
      </c>
      <c r="D7" s="33">
        <f>B7-C7</f>
        <v>0</v>
      </c>
      <c r="E7" s="50" t="str">
        <f>IF(ABS(D7)&lt;0.000001,"OK","CHECK")</f>
        <v>OK</v>
      </c>
    </row>
    <row r="8" spans="1:5">
      <c r="A8" t="s">
        <v>283</v>
      </c>
      <c r="B8" s="33">
        <f>'Cash flows'!$B$40</f>
        <v>307700000</v>
      </c>
      <c r="C8" s="33">
        <v>307700000</v>
      </c>
      <c r="D8" s="33">
        <f>B8-C8</f>
        <v>0</v>
      </c>
      <c r="E8" s="50" t="str">
        <f>IF(ABS(D8)&lt;0.000001,"OK","CHECK")</f>
        <v>OK</v>
      </c>
    </row>
    <row r="9" spans="1:5">
      <c r="A9" t="s">
        <v>284</v>
      </c>
      <c r="B9" s="33">
        <f>'Cash flows'!$B$41</f>
        <v>16600000</v>
      </c>
      <c r="C9" s="33">
        <v>16600000</v>
      </c>
      <c r="D9" s="33">
        <f>B9-C9</f>
        <v>0</v>
      </c>
      <c r="E9" s="50" t="str">
        <f>IF(ABS(D9)&lt;0.000001,"OK","CHECK")</f>
        <v>OK</v>
      </c>
    </row>
    <row r="10" spans="1:5">
      <c r="A10" t="s">
        <v>285</v>
      </c>
      <c r="B10" s="33">
        <f>'Cash flows'!$B$42</f>
        <v>99200000</v>
      </c>
      <c r="C10" s="33">
        <v>99200000</v>
      </c>
      <c r="D10" s="33">
        <f>B10-C10</f>
        <v>0</v>
      </c>
      <c r="E10" s="50" t="str">
        <f>IF(ABS(D10)&lt;0.000001,"OK","CHECK")</f>
        <v>OK</v>
      </c>
    </row>
    <row r="11" spans="1:5">
      <c r="A11" t="s">
        <v>286</v>
      </c>
      <c r="B11" s="33">
        <f>'Cash flows'!$B$43</f>
        <v>12100000</v>
      </c>
      <c r="C11" s="33">
        <v>12100000</v>
      </c>
      <c r="D11" s="33">
        <f>B11-C11</f>
        <v>0</v>
      </c>
      <c r="E11" s="50" t="str">
        <f>IF(ABS(D11)&lt;0.000001,"OK","CHECK")</f>
        <v>OK</v>
      </c>
    </row>
    <row r="12" spans="1:5">
      <c r="A12" t="s">
        <v>287</v>
      </c>
      <c r="B12" s="33">
        <f>'Cash flows'!$B$44</f>
        <v>3900000</v>
      </c>
      <c r="C12" s="33">
        <v>3900000</v>
      </c>
      <c r="D12" s="33">
        <f>B12-C12</f>
        <v>0</v>
      </c>
      <c r="E12" s="50" t="str">
        <f>IF(ABS(D12)&lt;0.000001,"OK","CHECK")</f>
        <v>OK</v>
      </c>
    </row>
    <row r="13" spans="1:5">
      <c r="A13" t="s">
        <v>288</v>
      </c>
      <c r="B13" s="33">
        <f>'Cash flows'!$B$45</f>
        <v>265400000</v>
      </c>
      <c r="C13" s="33">
        <v>265400000</v>
      </c>
      <c r="D13" s="33">
        <f>B13-C13</f>
        <v>0</v>
      </c>
      <c r="E13" s="50" t="str">
        <f>IF(ABS(D13)&lt;0.000001,"OK","CHECK")</f>
        <v>OK</v>
      </c>
    </row>
    <row r="14" spans="1:5">
      <c r="A14" t="s">
        <v>289</v>
      </c>
      <c r="B14" s="33">
        <f>'Cash flows'!$B$46</f>
        <v>41600000</v>
      </c>
      <c r="C14" s="33">
        <v>41600000</v>
      </c>
      <c r="D14" s="33">
        <f>B14-C14</f>
        <v>0</v>
      </c>
      <c r="E14" s="50" t="str">
        <f>IF(ABS(D14)&lt;0.000001,"OK","CHECK")</f>
        <v>OK</v>
      </c>
    </row>
    <row r="15" spans="1:5">
      <c r="A15" t="s">
        <v>290</v>
      </c>
      <c r="B15" s="35">
        <f>'Cash flows'!$B$47</f>
        <v>2.7</v>
      </c>
      <c r="C15" s="35">
        <v>2.7</v>
      </c>
      <c r="D15" s="35">
        <f>B15-C15</f>
        <v>0.0</v>
      </c>
      <c r="E15" s="50" t="str">
        <f>IF(ABS(D15)&lt;0.000001,"OK","CHECK")</f>
        <v>OK</v>
      </c>
    </row>
    <row r="16" spans="1:5">
      <c r="A16" t="s">
        <v>291</v>
      </c>
      <c r="B16" s="72">
        <f>'Cash flows'!$B$48</f>
        <v>0.26</v>
      </c>
      <c r="C16" s="72">
        <v>0.26</v>
      </c>
      <c r="D16" s="72">
        <f>B16-C16</f>
        <v>0.0</v>
      </c>
      <c r="E16" s="50" t="str">
        <f>IF(ABS(D16)&lt;0.000001,"OK","CHECK")</f>
        <v>OK</v>
      </c>
    </row>
    <row r="17" spans="1:5">
      <c r="A17" t="s">
        <v>292</v>
      </c>
      <c r="B17" s="72">
        <f>'Cash flows'!$B$49</f>
        <v>0.34</v>
      </c>
      <c r="C17" s="72">
        <v>0.34</v>
      </c>
      <c r="D17" s="72">
        <f>B17-C17</f>
        <v>0.0</v>
      </c>
      <c r="E17" s="50" t="str">
        <f>IF(ABS(D17)&lt;0.000001,"OK","CHECK")</f>
        <v>OK</v>
      </c>
    </row>
    <row r="18" spans="1:5">
      <c r="A18" t="s">
        <v>293</v>
      </c>
      <c r="B18" s="35">
        <f>'Cash flows'!$B$50</f>
        <v>0.9</v>
      </c>
      <c r="C18" s="35">
        <v>0.9</v>
      </c>
      <c r="D18" s="35">
        <f>B18-C18</f>
        <v>0.0</v>
      </c>
      <c r="E18" s="50" t="str">
        <f>IF(ABS(D18)&lt;0.000001,"OK","CHECK")</f>
        <v>OK</v>
      </c>
    </row>
    <row r="19" spans="1:5">
      <c r="A19" t="s">
        <v>294</v>
      </c>
      <c r="B19" s="33">
        <f>ROUND(('Cash flows'!$C$18)/IF(ABS('Cash flows'!$C$18)&lt;1000000,10000,100000),0)*IF(ABS('Cash flows'!$C$18)&lt;1000000,10000,100000)</f>
        <v>11800000</v>
      </c>
      <c r="C19" s="33">
        <v>11800000</v>
      </c>
      <c r="D19" s="33">
        <f>B19-C19</f>
        <v>0</v>
      </c>
      <c r="E19" s="50" t="str">
        <f>IF(ABS(D19)&lt;0.000001,"OK","CHECK")</f>
        <v>OK</v>
      </c>
    </row>
    <row r="20" spans="1:5">
      <c r="A20" t="s">
        <v>295</v>
      </c>
      <c r="B20" s="33">
        <f>ROUND(('Cash flows'!$D$18)/IF(ABS('Cash flows'!$D$18)&lt;1000000,10000,100000),0)*IF(ABS('Cash flows'!$D$18)&lt;1000000,10000,100000)</f>
        <v>24400000</v>
      </c>
      <c r="C20" s="33">
        <v>24400000</v>
      </c>
      <c r="D20" s="33">
        <f>B20-C20</f>
        <v>0</v>
      </c>
      <c r="E20" s="50" t="str">
        <f>IF(ABS(D20)&lt;0.000001,"OK","CHECK")</f>
        <v>OK</v>
      </c>
    </row>
    <row r="21" spans="1:5">
      <c r="A21" t="s">
        <v>296</v>
      </c>
      <c r="B21" s="33">
        <f>ROUND(('Cash flows'!$E$18)/IF(ABS('Cash flows'!$E$18)&lt;1000000,10000,100000),0)*IF(ABS('Cash flows'!$E$18)&lt;1000000,10000,100000)</f>
        <v>43900000</v>
      </c>
      <c r="C21" s="33">
        <v>43900000</v>
      </c>
      <c r="D21" s="33">
        <f>B21-C21</f>
        <v>0</v>
      </c>
      <c r="E21" s="50" t="str">
        <f>IF(ABS(D21)&lt;0.000001,"OK","CHECK")</f>
        <v>OK</v>
      </c>
    </row>
    <row r="22" spans="1:5">
      <c r="A22" t="s">
        <v>297</v>
      </c>
      <c r="B22" s="33">
        <f>ROUND(('Cash flows'!$F$18)/IF(ABS('Cash flows'!$F$18)&lt;1000000,10000,100000),0)*IF(ABS('Cash flows'!$F$18)&lt;1000000,10000,100000)</f>
        <v>13800000</v>
      </c>
      <c r="C22" s="33">
        <v>13800000</v>
      </c>
      <c r="D22" s="33">
        <f>B22-C22</f>
        <v>0</v>
      </c>
      <c r="E22" s="50" t="str">
        <f>IF(ABS(D22)&lt;0.000001,"OK","CHECK")</f>
        <v>OK</v>
      </c>
    </row>
    <row r="23" spans="1:5">
      <c r="A23" t="s">
        <v>298</v>
      </c>
      <c r="B23" s="33">
        <f>ROUND(('Cash flows'!$G$18)/IF(ABS('Cash flows'!$G$18)&lt;1000000,10000,100000),0)*IF(ABS('Cash flows'!$G$18)&lt;1000000,10000,100000)</f>
        <v>2400000</v>
      </c>
      <c r="C23" s="33">
        <v>2400000</v>
      </c>
      <c r="D23" s="33">
        <f>B23-C23</f>
        <v>0</v>
      </c>
      <c r="E23" s="50" t="str">
        <f>IF(ABS(D23)&lt;0.000001,"OK","CHECK")</f>
        <v>OK</v>
      </c>
    </row>
    <row r="24" spans="1:5">
      <c r="A24" t="s">
        <v>299</v>
      </c>
      <c r="B24" s="33">
        <f>ROUND(('Cash flows'!$H$18)/IF(ABS('Cash flows'!$H$18)&lt;1000000,10000,100000),0)*IF(ABS('Cash flows'!$H$18)&lt;1000000,10000,100000)</f>
        <v>1500000</v>
      </c>
      <c r="C24" s="33">
        <v>1500000</v>
      </c>
      <c r="D24" s="33">
        <f>B24-C24</f>
        <v>0</v>
      </c>
      <c r="E24" s="50" t="str">
        <f>IF(ABS(D24)&lt;0.000001,"OK","CHECK")</f>
        <v>OK</v>
      </c>
    </row>
    <row r="25" spans="1:5">
      <c r="A25" t="s">
        <v>300</v>
      </c>
      <c r="B25" s="33">
        <f>ROUND(('Cash flows'!$I$18)/IF(ABS('Cash flows'!$I$18)&lt;1000000,10000,100000),0)*IF(ABS('Cash flows'!$I$18)&lt;1000000,10000,100000)</f>
        <v>1100000</v>
      </c>
      <c r="C25" s="33">
        <v>1100000</v>
      </c>
      <c r="D25" s="33">
        <f>B25-C25</f>
        <v>0</v>
      </c>
      <c r="E25" s="50" t="str">
        <f>IF(ABS(D25)&lt;0.000001,"OK","CHECK")</f>
        <v>OK</v>
      </c>
    </row>
    <row r="26" spans="1:5">
      <c r="A26" t="s">
        <v>301</v>
      </c>
      <c r="B26" s="33">
        <f>ROUND(('Cash flows'!$J$18)/IF(ABS('Cash flows'!$J$18)&lt;1000000,10000,100000),0)*IF(ABS('Cash flows'!$J$18)&lt;1000000,10000,100000)</f>
        <v>580000</v>
      </c>
      <c r="C26" s="33">
        <v>580000</v>
      </c>
      <c r="D26" s="33">
        <f>B26-C26</f>
        <v>0</v>
      </c>
      <c r="E26" s="50" t="str">
        <f>IF(ABS(D26)&lt;0.000001,"OK","CHECK")</f>
        <v>OK</v>
      </c>
    </row>
    <row r="27" spans="1:5">
      <c r="A27" t="s">
        <v>302</v>
      </c>
      <c r="B27" s="33">
        <f>ROUND(('Cash flows'!$C$13)/IF(ABS('Cash flows'!$C$13)&lt;1000000,10000,100000),0)*IF(ABS('Cash flows'!$C$13)&lt;1000000,10000,100000)</f>
        <v>0</v>
      </c>
      <c r="C27" s="33">
        <v>0</v>
      </c>
      <c r="D27" s="33">
        <f>B27-C27</f>
        <v>0</v>
      </c>
      <c r="E27" s="50" t="str">
        <f>IF(ABS(D27)&lt;0.000001,"OK","CHECK")</f>
        <v>OK</v>
      </c>
    </row>
    <row r="28" spans="1:5">
      <c r="A28" t="s">
        <v>303</v>
      </c>
      <c r="B28" s="33">
        <f>ROUND(('Cash flows'!$D$13)/IF(ABS('Cash flows'!$D$13)&lt;1000000,10000,100000),0)*IF(ABS('Cash flows'!$D$13)&lt;1000000,10000,100000)</f>
        <v>0</v>
      </c>
      <c r="C28" s="33">
        <v>0</v>
      </c>
      <c r="D28" s="33">
        <f>B28-C28</f>
        <v>0</v>
      </c>
      <c r="E28" s="50" t="str">
        <f>IF(ABS(D28)&lt;0.000001,"OK","CHECK")</f>
        <v>OK</v>
      </c>
    </row>
    <row r="29" spans="1:5">
      <c r="A29" t="s">
        <v>304</v>
      </c>
      <c r="B29" s="33">
        <f>ROUND(('Cash flows'!$E$13)/IF(ABS('Cash flows'!$E$13)&lt;1000000,10000,100000),0)*IF(ABS('Cash flows'!$E$13)&lt;1000000,10000,100000)</f>
        <v>0</v>
      </c>
      <c r="C29" s="33">
        <v>0</v>
      </c>
      <c r="D29" s="33">
        <f>B29-C29</f>
        <v>0</v>
      </c>
      <c r="E29" s="50" t="str">
        <f>IF(ABS(D29)&lt;0.000001,"OK","CHECK")</f>
        <v>OK</v>
      </c>
    </row>
    <row r="30" spans="1:5">
      <c r="A30" t="s">
        <v>305</v>
      </c>
      <c r="B30" s="33">
        <f>ROUND(('Cash flows'!$F$13)/IF(ABS('Cash flows'!$F$13)&lt;1000000,10000,100000),0)*IF(ABS('Cash flows'!$F$13)&lt;1000000,10000,100000)</f>
        <v>4300000</v>
      </c>
      <c r="C30" s="33">
        <v>4300000</v>
      </c>
      <c r="D30" s="33">
        <f>B30-C30</f>
        <v>0</v>
      </c>
      <c r="E30" s="50" t="str">
        <f>IF(ABS(D30)&lt;0.000001,"OK","CHECK")</f>
        <v>OK</v>
      </c>
    </row>
    <row r="31" spans="1:5">
      <c r="A31" t="s">
        <v>306</v>
      </c>
      <c r="B31" s="33">
        <f>ROUND(('Cash flows'!$G$13)/IF(ABS('Cash flows'!$G$13)&lt;1000000,10000,100000),0)*IF(ABS('Cash flows'!$G$13)&lt;1000000,10000,100000)</f>
        <v>7500000</v>
      </c>
      <c r="C31" s="33">
        <v>7500000</v>
      </c>
      <c r="D31" s="33">
        <f>B31-C31</f>
        <v>0</v>
      </c>
      <c r="E31" s="50" t="str">
        <f>IF(ABS(D31)&lt;0.000001,"OK","CHECK")</f>
        <v>OK</v>
      </c>
    </row>
    <row r="32" spans="1:5">
      <c r="A32" t="s">
        <v>307</v>
      </c>
      <c r="B32" s="33">
        <f>ROUND(('Cash flows'!$H$13)/IF(ABS('Cash flows'!$H$13)&lt;1000000,10000,100000),0)*IF(ABS('Cash flows'!$H$13)&lt;1000000,10000,100000)</f>
        <v>74000000</v>
      </c>
      <c r="C32" s="33">
        <v>74000000</v>
      </c>
      <c r="D32" s="33">
        <f>B32-C32</f>
        <v>0</v>
      </c>
      <c r="E32" s="50" t="str">
        <f>IF(ABS(D32)&lt;0.000001,"OK","CHECK")</f>
        <v>OK</v>
      </c>
    </row>
    <row r="33" spans="1:5">
      <c r="A33" t="s">
        <v>308</v>
      </c>
      <c r="B33" s="33">
        <f>ROUND(('Cash flows'!$I$13)/IF(ABS('Cash flows'!$I$13)&lt;1000000,10000,100000),0)*IF(ABS('Cash flows'!$I$13)&lt;1000000,10000,100000)</f>
        <v>97000000</v>
      </c>
      <c r="C33" s="33">
        <v>97000000</v>
      </c>
      <c r="D33" s="33">
        <f>B33-C33</f>
        <v>0</v>
      </c>
      <c r="E33" s="50" t="str">
        <f>IF(ABS(D33)&lt;0.000001,"OK","CHECK")</f>
        <v>OK</v>
      </c>
    </row>
    <row r="34" spans="1:5">
      <c r="A34" t="s">
        <v>309</v>
      </c>
      <c r="B34" s="33">
        <f>ROUND(('Cash flows'!$J$13)/IF(ABS('Cash flows'!$J$13)&lt;1000000,10000,100000),0)*IF(ABS('Cash flows'!$J$13)&lt;1000000,10000,100000)</f>
        <v>124200000</v>
      </c>
      <c r="C34" s="33">
        <v>124200000</v>
      </c>
      <c r="D34" s="33">
        <f>B34-C34</f>
        <v>0</v>
      </c>
      <c r="E34" s="50" t="str">
        <f>IF(ABS(D34)&lt;0.000001,"OK","CHECK")</f>
        <v>OK</v>
      </c>
    </row>
    <row r="35" spans="1:5">
      <c r="A35" t="s">
        <v>310</v>
      </c>
      <c r="B35" s="33">
        <f>ROUND(('Cash flows'!$C$33)/IF(ABS('Cash flows'!$C$33)&lt;1000000,10000,100000),0)*IF(ABS('Cash flows'!$C$33)&lt;1000000,10000,100000)</f>
        <v>0</v>
      </c>
      <c r="C35" s="33">
        <v>0</v>
      </c>
      <c r="D35" s="33">
        <f>B35-C35</f>
        <v>0</v>
      </c>
      <c r="E35" s="50" t="str">
        <f>IF(ABS(D35)&lt;0.000001,"OK","CHECK")</f>
        <v>OK</v>
      </c>
    </row>
    <row r="36" spans="1:5">
      <c r="A36" t="s">
        <v>311</v>
      </c>
      <c r="B36" s="33">
        <f>ROUND(('Cash flows'!$D$33)/IF(ABS('Cash flows'!$D$33)&lt;1000000,10000,100000),0)*IF(ABS('Cash flows'!$D$33)&lt;1000000,10000,100000)</f>
        <v>0</v>
      </c>
      <c r="C36" s="33">
        <v>0</v>
      </c>
      <c r="D36" s="33">
        <f>B36-C36</f>
        <v>0</v>
      </c>
      <c r="E36" s="50" t="str">
        <f>IF(ABS(D36)&lt;0.000001,"OK","CHECK")</f>
        <v>OK</v>
      </c>
    </row>
    <row r="37" spans="1:5">
      <c r="A37" t="s">
        <v>312</v>
      </c>
      <c r="B37" s="33">
        <f>ROUND(('Cash flows'!$E$33)/IF(ABS('Cash flows'!$E$33)&lt;1000000,10000,100000),0)*IF(ABS('Cash flows'!$E$33)&lt;1000000,10000,100000)</f>
        <v>0</v>
      </c>
      <c r="C37" s="33">
        <v>0</v>
      </c>
      <c r="D37" s="33">
        <f>B37-C37</f>
        <v>0</v>
      </c>
      <c r="E37" s="50" t="str">
        <f>IF(ABS(D37)&lt;0.000001,"OK","CHECK")</f>
        <v>OK</v>
      </c>
    </row>
    <row r="38" spans="1:5">
      <c r="A38" t="s">
        <v>313</v>
      </c>
      <c r="B38" s="33">
        <f>ROUND(('Cash flows'!$F$33)/IF(ABS('Cash flows'!$F$33)&lt;1000000,10000,100000),0)*IF(ABS('Cash flows'!$F$33)&lt;1000000,10000,100000)</f>
        <v>4300000</v>
      </c>
      <c r="C38" s="33">
        <v>4300000</v>
      </c>
      <c r="D38" s="33">
        <f>B38-C38</f>
        <v>0</v>
      </c>
      <c r="E38" s="50" t="str">
        <f>IF(ABS(D38)&lt;0.000001,"OK","CHECK")</f>
        <v>OK</v>
      </c>
    </row>
    <row r="39" spans="1:5">
      <c r="A39" t="s">
        <v>314</v>
      </c>
      <c r="B39" s="33">
        <f>ROUND(('Cash flows'!$G$33)/IF(ABS('Cash flows'!$G$33)&lt;1000000,10000,100000),0)*IF(ABS('Cash flows'!$G$33)&lt;1000000,10000,100000)</f>
        <v>7500000</v>
      </c>
      <c r="C39" s="33">
        <v>7500000</v>
      </c>
      <c r="D39" s="33">
        <f>B39-C39</f>
        <v>0</v>
      </c>
      <c r="E39" s="50" t="str">
        <f>IF(ABS(D39)&lt;0.000001,"OK","CHECK")</f>
        <v>OK</v>
      </c>
    </row>
    <row r="40" spans="1:5">
      <c r="A40" t="s">
        <v>315</v>
      </c>
      <c r="B40" s="33">
        <f>ROUND(('Cash flows'!$H$33)/IF(ABS('Cash flows'!$H$33)&lt;1000000,10000,100000),0)*IF(ABS('Cash flows'!$H$33)&lt;1000000,10000,100000)</f>
        <v>74000000</v>
      </c>
      <c r="C40" s="33">
        <v>74000000</v>
      </c>
      <c r="D40" s="33">
        <f>B40-C40</f>
        <v>0</v>
      </c>
      <c r="E40" s="50" t="str">
        <f>IF(ABS(D40)&lt;0.000001,"OK","CHECK")</f>
        <v>OK</v>
      </c>
    </row>
    <row r="41" spans="1:5">
      <c r="A41" t="s">
        <v>316</v>
      </c>
      <c r="B41" s="33">
        <f>ROUND(('Cash flows'!$I$33)/IF(ABS('Cash flows'!$I$33)&lt;1000000,10000,100000),0)*IF(ABS('Cash flows'!$I$33)&lt;1000000,10000,100000)</f>
        <v>80200000</v>
      </c>
      <c r="C41" s="33">
        <v>80200000</v>
      </c>
      <c r="D41" s="33">
        <f>B41-C41</f>
        <v>0</v>
      </c>
      <c r="E41" s="50" t="str">
        <f>IF(ABS(D41)&lt;0.000001,"OK","CHECK")</f>
        <v>OK</v>
      </c>
    </row>
    <row r="42" spans="1:5">
      <c r="A42" t="s">
        <v>317</v>
      </c>
      <c r="B42" s="33">
        <f>ROUND(('Cash flows'!$J$33)/IF(ABS('Cash flows'!$J$33)&lt;1000000,10000,100000),0)*IF(ABS('Cash flows'!$J$33)&lt;1000000,10000,100000)</f>
        <v>99500000</v>
      </c>
      <c r="C42" s="33">
        <v>99500000</v>
      </c>
      <c r="D42" s="33">
        <f>B42-C42</f>
        <v>0</v>
      </c>
      <c r="E42" s="50" t="str">
        <f>IF(ABS(D42)&lt;0.000001,"OK","CHECK")</f>
        <v>OK</v>
      </c>
    </row>
    <row r="43" spans="1:5">
      <c r="A43" t="s">
        <v>318</v>
      </c>
      <c r="B43" s="33">
        <f>ROUND(('Cash flows'!$C$34)/IF(ABS('Cash flows'!$C$34)&lt;1000000,10000,100000),0)*IF(ABS('Cash flows'!$C$34)&lt;1000000,10000,100000)</f>
        <v>0</v>
      </c>
      <c r="C43" s="33">
        <v>0</v>
      </c>
      <c r="D43" s="33">
        <f>B43-C43</f>
        <v>0</v>
      </c>
      <c r="E43" s="50" t="str">
        <f>IF(ABS(D43)&lt;0.000001,"OK","CHECK")</f>
        <v>OK</v>
      </c>
    </row>
    <row r="44" spans="1:5">
      <c r="A44" t="s">
        <v>319</v>
      </c>
      <c r="B44" s="33">
        <f>ROUND(('Cash flows'!$D$34)/IF(ABS('Cash flows'!$D$34)&lt;1000000,10000,100000),0)*IF(ABS('Cash flows'!$D$34)&lt;1000000,10000,100000)</f>
        <v>0</v>
      </c>
      <c r="C44" s="33">
        <v>0</v>
      </c>
      <c r="D44" s="33">
        <f>B44-C44</f>
        <v>0</v>
      </c>
      <c r="E44" s="50" t="str">
        <f>IF(ABS(D44)&lt;0.000001,"OK","CHECK")</f>
        <v>OK</v>
      </c>
    </row>
    <row r="45" spans="1:5">
      <c r="A45" t="s">
        <v>320</v>
      </c>
      <c r="B45" s="33">
        <f>ROUND(('Cash flows'!$E$34)/IF(ABS('Cash flows'!$E$34)&lt;1000000,10000,100000),0)*IF(ABS('Cash flows'!$E$34)&lt;1000000,10000,100000)</f>
        <v>0</v>
      </c>
      <c r="C45" s="33">
        <v>0</v>
      </c>
      <c r="D45" s="33">
        <f>B45-C45</f>
        <v>0</v>
      </c>
      <c r="E45" s="50" t="str">
        <f>IF(ABS(D45)&lt;0.000001,"OK","CHECK")</f>
        <v>OK</v>
      </c>
    </row>
    <row r="46" spans="1:5">
      <c r="A46" t="s">
        <v>321</v>
      </c>
      <c r="B46" s="33">
        <f>ROUND(('Cash flows'!$F$34)/IF(ABS('Cash flows'!$F$34)&lt;1000000,10000,100000),0)*IF(ABS('Cash flows'!$F$34)&lt;1000000,10000,100000)</f>
        <v>0</v>
      </c>
      <c r="C46" s="33">
        <v>0</v>
      </c>
      <c r="D46" s="33">
        <f>B46-C46</f>
        <v>0</v>
      </c>
      <c r="E46" s="50" t="str">
        <f>IF(ABS(D46)&lt;0.000001,"OK","CHECK")</f>
        <v>OK</v>
      </c>
    </row>
    <row r="47" spans="1:5">
      <c r="A47" t="s">
        <v>322</v>
      </c>
      <c r="B47" s="33">
        <f>ROUND(('Cash flows'!$G$34)/IF(ABS('Cash flows'!$G$34)&lt;1000000,10000,100000),0)*IF(ABS('Cash flows'!$G$34)&lt;1000000,10000,100000)</f>
        <v>0</v>
      </c>
      <c r="C47" s="33">
        <v>0</v>
      </c>
      <c r="D47" s="33">
        <f>B47-C47</f>
        <v>0</v>
      </c>
      <c r="E47" s="50" t="str">
        <f>IF(ABS(D47)&lt;0.000001,"OK","CHECK")</f>
        <v>OK</v>
      </c>
    </row>
    <row r="48" spans="1:5">
      <c r="A48" t="s">
        <v>323</v>
      </c>
      <c r="B48" s="33">
        <f>ROUND(('Cash flows'!$H$34)/IF(ABS('Cash flows'!$H$34)&lt;1000000,10000,100000),0)*IF(ABS('Cash flows'!$H$34)&lt;1000000,10000,100000)</f>
        <v>0</v>
      </c>
      <c r="C48" s="33">
        <v>0</v>
      </c>
      <c r="D48" s="33">
        <f>B48-C48</f>
        <v>0</v>
      </c>
      <c r="E48" s="50" t="str">
        <f>IF(ABS(D48)&lt;0.000001,"OK","CHECK")</f>
        <v>OK</v>
      </c>
    </row>
    <row r="49" spans="1:5">
      <c r="A49" t="s">
        <v>324</v>
      </c>
      <c r="B49" s="33">
        <f>ROUND(('Cash flows'!$I$34)/IF(ABS('Cash flows'!$I$34)&lt;1000000,10000,100000),0)*IF(ABS('Cash flows'!$I$34)&lt;1000000,10000,100000)</f>
        <v>16800000</v>
      </c>
      <c r="C49" s="33">
        <v>16800000</v>
      </c>
      <c r="D49" s="33">
        <f>B49-C49</f>
        <v>0</v>
      </c>
      <c r="E49" s="50" t="str">
        <f>IF(ABS(D49)&lt;0.000001,"OK","CHECK")</f>
        <v>OK</v>
      </c>
    </row>
    <row r="50" spans="1:5">
      <c r="A50" t="s">
        <v>325</v>
      </c>
      <c r="B50" s="33">
        <f>ROUND(('Cash flows'!$J$34)/IF(ABS('Cash flows'!$J$34)&lt;1000000,10000,100000),0)*IF(ABS('Cash flows'!$J$34)&lt;1000000,10000,100000)</f>
        <v>24700000</v>
      </c>
      <c r="C50" s="33">
        <v>24700000</v>
      </c>
      <c r="D50" s="33">
        <f>B50-C50</f>
        <v>0</v>
      </c>
      <c r="E50" s="50" t="str">
        <f>IF(ABS(D50)&lt;0.000001,"OK","CHECK")</f>
        <v>OK</v>
      </c>
    </row>
    <row r="51" spans="1:5">
      <c r="A51" t="s">
        <v>326</v>
      </c>
      <c r="B51" s="33">
        <f>'Cash flows'!$B$84</f>
        <v>190700000</v>
      </c>
      <c r="C51" s="33">
        <v>190700000</v>
      </c>
      <c r="D51" s="33">
        <f>B51-C51</f>
        <v>0</v>
      </c>
      <c r="E51" s="50" t="str">
        <f>IF(ABS(D51)&lt;0.000001,"OK","CHECK")</f>
        <v>OK</v>
      </c>
    </row>
    <row r="52" spans="1:5">
      <c r="A52" t="s">
        <v>327</v>
      </c>
      <c r="B52" s="33">
        <f>'Cash flows'!$B$85</f>
        <v>184900000</v>
      </c>
      <c r="C52" s="33">
        <v>184900000</v>
      </c>
      <c r="D52" s="33">
        <f>B52-C52</f>
        <v>0</v>
      </c>
      <c r="E52" s="50" t="str">
        <f>IF(ABS(D52)&lt;0.000001,"OK","CHECK")</f>
        <v>OK</v>
      </c>
    </row>
    <row r="53" spans="1:5">
      <c r="A53" t="s">
        <v>328</v>
      </c>
      <c r="B53" s="33">
        <f>'Cash flows'!$B$86</f>
        <v>5800000</v>
      </c>
      <c r="C53" s="33">
        <v>5800000</v>
      </c>
      <c r="D53" s="33">
        <f>B53-C53</f>
        <v>0</v>
      </c>
      <c r="E53" s="50" t="str">
        <f>IF(ABS(D53)&lt;0.000001,"OK","CHECK")</f>
        <v>OK</v>
      </c>
    </row>
    <row r="54" spans="1:5">
      <c r="A54" t="s">
        <v>329</v>
      </c>
      <c r="B54" s="33">
        <f>'Cash flows'!$B$87</f>
        <v>99200000</v>
      </c>
      <c r="C54" s="33">
        <v>99200000</v>
      </c>
      <c r="D54" s="33">
        <f>B54-C54</f>
        <v>0</v>
      </c>
      <c r="E54" s="50" t="str">
        <f>IF(ABS(D54)&lt;0.000001,"OK","CHECK")</f>
        <v>OK</v>
      </c>
    </row>
    <row r="55" spans="1:5">
      <c r="A55" t="s">
        <v>330</v>
      </c>
      <c r="B55" s="33">
        <f>'Cash flows'!$B$88</f>
        <v>12100000</v>
      </c>
      <c r="C55" s="33">
        <v>12100000</v>
      </c>
      <c r="D55" s="33">
        <f>B55-C55</f>
        <v>0</v>
      </c>
      <c r="E55" s="50" t="str">
        <f>IF(ABS(D55)&lt;0.000001,"OK","CHECK")</f>
        <v>OK</v>
      </c>
    </row>
    <row r="56" spans="1:5">
      <c r="A56" t="s">
        <v>331</v>
      </c>
      <c r="B56" s="33">
        <f>'Cash flows'!$B$89</f>
        <v>3900000</v>
      </c>
      <c r="C56" s="33">
        <v>3900000</v>
      </c>
      <c r="D56" s="33">
        <f>B56-C56</f>
        <v>0</v>
      </c>
      <c r="E56" s="50" t="str">
        <f>IF(ABS(D56)&lt;0.000001,"OK","CHECK")</f>
        <v>OK</v>
      </c>
    </row>
    <row r="57" spans="1:5">
      <c r="A57" t="s">
        <v>332</v>
      </c>
      <c r="B57" s="33">
        <f>'Cash flows'!$B$90</f>
        <v>167200000</v>
      </c>
      <c r="C57" s="33">
        <v>167200000</v>
      </c>
      <c r="D57" s="33">
        <f>B57-C57</f>
        <v>0</v>
      </c>
      <c r="E57" s="50" t="str">
        <f>IF(ABS(D57)&lt;0.000001,"OK","CHECK")</f>
        <v>OK</v>
      </c>
    </row>
    <row r="58" spans="1:5">
      <c r="A58" t="s">
        <v>333</v>
      </c>
      <c r="B58" s="33">
        <f>'Cash flows'!$B$91</f>
        <v>17000000</v>
      </c>
      <c r="C58" s="33">
        <v>17000000</v>
      </c>
      <c r="D58" s="33">
        <f>B58-C58</f>
        <v>0</v>
      </c>
      <c r="E58" s="50" t="str">
        <f>IF(ABS(D58)&lt;0.000001,"OK","CHECK")</f>
        <v>OK</v>
      </c>
    </row>
    <row r="59" spans="1:5">
      <c r="A59" t="s">
        <v>334</v>
      </c>
      <c r="B59" s="35">
        <f>'Cash flows'!$B$92</f>
        <v>1.7</v>
      </c>
      <c r="C59" s="35">
        <v>1.7</v>
      </c>
      <c r="D59" s="35">
        <f>B59-C59</f>
        <v>0.0</v>
      </c>
      <c r="E59" s="50" t="str">
        <f>IF(ABS(D59)&lt;0.000001,"OK","CHECK")</f>
        <v>OK</v>
      </c>
    </row>
    <row r="60" spans="1:5">
      <c r="A60" t="s">
        <v>335</v>
      </c>
      <c r="B60" s="72">
        <f>'Cash flows'!$B$93</f>
        <v>0.14</v>
      </c>
      <c r="C60" s="72">
        <v>0.14</v>
      </c>
      <c r="D60" s="72">
        <f>B60-C60</f>
        <v>0.0</v>
      </c>
      <c r="E60" s="50" t="str">
        <f>IF(ABS(D60)&lt;0.000001,"OK","CHECK")</f>
        <v>OK</v>
      </c>
    </row>
    <row r="61" spans="1:5">
      <c r="A61" t="s">
        <v>336</v>
      </c>
      <c r="B61" s="72">
        <f>'Cash flows'!$B$94</f>
        <v>0.21</v>
      </c>
      <c r="C61" s="72">
        <v>0.21</v>
      </c>
      <c r="D61" s="72">
        <f>B61-C61</f>
        <v>0.0</v>
      </c>
      <c r="E61" s="50" t="str">
        <f>IF(ABS(D61)&lt;0.000001,"OK","CHECK")</f>
        <v>OK</v>
      </c>
    </row>
    <row r="62" spans="1:5">
      <c r="A62" t="s">
        <v>337</v>
      </c>
      <c r="B62" s="35">
        <f>'Cash flows'!$B$95</f>
        <v>0.6</v>
      </c>
      <c r="C62" s="35">
        <v>0.6</v>
      </c>
      <c r="D62" s="35">
        <f>B62-C62</f>
        <v>0.0</v>
      </c>
      <c r="E62" s="50" t="str">
        <f>IF(ABS(D62)&lt;0.000001,"OK","CHECK")</f>
        <v>OK</v>
      </c>
    </row>
    <row r="63" spans="1:5">
      <c r="A63" t="s">
        <v>338</v>
      </c>
      <c r="B63" s="33">
        <f>ROUND(('Cash flows'!$C$63)/IF(ABS('Cash flows'!$C$63)&lt;1000000,10000,100000),0)*IF(ABS('Cash flows'!$C$63)&lt;1000000,10000,100000)</f>
        <v>11800000</v>
      </c>
      <c r="C63" s="33">
        <v>11800000</v>
      </c>
      <c r="D63" s="33">
        <f>B63-C63</f>
        <v>0</v>
      </c>
      <c r="E63" s="50" t="str">
        <f>IF(ABS(D63)&lt;0.000001,"OK","CHECK")</f>
        <v>OK</v>
      </c>
    </row>
    <row r="64" spans="1:5">
      <c r="A64" t="s">
        <v>339</v>
      </c>
      <c r="B64" s="33">
        <f>ROUND(('Cash flows'!$D$63)/IF(ABS('Cash flows'!$D$63)&lt;1000000,10000,100000),0)*IF(ABS('Cash flows'!$D$63)&lt;1000000,10000,100000)</f>
        <v>24400000</v>
      </c>
      <c r="C64" s="33">
        <v>24400000</v>
      </c>
      <c r="D64" s="33">
        <f>B64-C64</f>
        <v>0</v>
      </c>
      <c r="E64" s="50" t="str">
        <f>IF(ABS(D64)&lt;0.000001,"OK","CHECK")</f>
        <v>OK</v>
      </c>
    </row>
    <row r="65" spans="1:5">
      <c r="A65" t="s">
        <v>340</v>
      </c>
      <c r="B65" s="33">
        <f>ROUND(('Cash flows'!$E$63)/IF(ABS('Cash flows'!$E$63)&lt;1000000,10000,100000),0)*IF(ABS('Cash flows'!$E$63)&lt;1000000,10000,100000)</f>
        <v>43900000</v>
      </c>
      <c r="C65" s="33">
        <v>43900000</v>
      </c>
      <c r="D65" s="33">
        <f>B65-C65</f>
        <v>0</v>
      </c>
      <c r="E65" s="50" t="str">
        <f>IF(ABS(D65)&lt;0.000001,"OK","CHECK")</f>
        <v>OK</v>
      </c>
    </row>
    <row r="66" spans="1:5">
      <c r="A66" t="s">
        <v>341</v>
      </c>
      <c r="B66" s="33">
        <f>ROUND(('Cash flows'!$F$63)/IF(ABS('Cash flows'!$F$63)&lt;1000000,10000,100000),0)*IF(ABS('Cash flows'!$F$63)&lt;1000000,10000,100000)</f>
        <v>13800000</v>
      </c>
      <c r="C66" s="33">
        <v>13800000</v>
      </c>
      <c r="D66" s="33">
        <f>B66-C66</f>
        <v>0</v>
      </c>
      <c r="E66" s="50" t="str">
        <f>IF(ABS(D66)&lt;0.000001,"OK","CHECK")</f>
        <v>OK</v>
      </c>
    </row>
    <row r="67" spans="1:5">
      <c r="A67" t="s">
        <v>342</v>
      </c>
      <c r="B67" s="33">
        <f>ROUND(('Cash flows'!$G$63)/IF(ABS('Cash flows'!$G$63)&lt;1000000,10000,100000),0)*IF(ABS('Cash flows'!$G$63)&lt;1000000,10000,100000)</f>
        <v>2400000</v>
      </c>
      <c r="C67" s="33">
        <v>2400000</v>
      </c>
      <c r="D67" s="33">
        <f>B67-C67</f>
        <v>0</v>
      </c>
      <c r="E67" s="50" t="str">
        <f>IF(ABS(D67)&lt;0.000001,"OK","CHECK")</f>
        <v>OK</v>
      </c>
    </row>
    <row r="68" spans="1:5">
      <c r="A68" t="s">
        <v>343</v>
      </c>
      <c r="B68" s="33">
        <f>ROUND(('Cash flows'!$H$63)/IF(ABS('Cash flows'!$H$63)&lt;1000000,10000,100000),0)*IF(ABS('Cash flows'!$H$63)&lt;1000000,10000,100000)</f>
        <v>1500000</v>
      </c>
      <c r="C68" s="33">
        <v>1500000</v>
      </c>
      <c r="D68" s="33">
        <f>B68-C68</f>
        <v>0</v>
      </c>
      <c r="E68" s="50" t="str">
        <f>IF(ABS(D68)&lt;0.000001,"OK","CHECK")</f>
        <v>OK</v>
      </c>
    </row>
    <row r="69" spans="1:5">
      <c r="A69" t="s">
        <v>344</v>
      </c>
      <c r="B69" s="33">
        <f>ROUND(('Cash flows'!$I$63)/IF(ABS('Cash flows'!$I$63)&lt;1000000,10000,100000),0)*IF(ABS('Cash flows'!$I$63)&lt;1000000,10000,100000)</f>
        <v>1100000</v>
      </c>
      <c r="C69" s="33">
        <v>1100000</v>
      </c>
      <c r="D69" s="33">
        <f>B69-C69</f>
        <v>0</v>
      </c>
      <c r="E69" s="50" t="str">
        <f>IF(ABS(D69)&lt;0.000001,"OK","CHECK")</f>
        <v>OK</v>
      </c>
    </row>
    <row r="70" spans="1:5">
      <c r="A70" t="s">
        <v>345</v>
      </c>
      <c r="B70" s="33">
        <f>ROUND(('Cash flows'!$J$63)/IF(ABS('Cash flows'!$J$63)&lt;1000000,10000,100000),0)*IF(ABS('Cash flows'!$J$63)&lt;1000000,10000,100000)</f>
        <v>580000</v>
      </c>
      <c r="C70" s="33">
        <v>580000</v>
      </c>
      <c r="D70" s="33">
        <f>B70-C70</f>
        <v>0</v>
      </c>
      <c r="E70" s="50" t="str">
        <f>IF(ABS(D70)&lt;0.000001,"OK","CHECK")</f>
        <v>OK</v>
      </c>
    </row>
    <row r="71" spans="1:5">
      <c r="A71" t="s">
        <v>346</v>
      </c>
      <c r="B71" s="33">
        <f>ROUND(('Cash flows'!$C$58)/IF(ABS('Cash flows'!$C$58)&lt;1000000,10000,100000),0)*IF(ABS('Cash flows'!$C$58)&lt;1000000,10000,100000)</f>
        <v>0</v>
      </c>
      <c r="C71" s="33">
        <v>0</v>
      </c>
      <c r="D71" s="33">
        <f>B71-C71</f>
        <v>0</v>
      </c>
      <c r="E71" s="50" t="str">
        <f>IF(ABS(D71)&lt;0.000001,"OK","CHECK")</f>
        <v>OK</v>
      </c>
    </row>
    <row r="72" spans="1:5">
      <c r="A72" t="s">
        <v>347</v>
      </c>
      <c r="B72" s="33">
        <f>ROUND(('Cash flows'!$D$58)/IF(ABS('Cash flows'!$D$58)&lt;1000000,10000,100000),0)*IF(ABS('Cash flows'!$D$58)&lt;1000000,10000,100000)</f>
        <v>0</v>
      </c>
      <c r="C72" s="33">
        <v>0</v>
      </c>
      <c r="D72" s="33">
        <f>B72-C72</f>
        <v>0</v>
      </c>
      <c r="E72" s="50" t="str">
        <f>IF(ABS(D72)&lt;0.000001,"OK","CHECK")</f>
        <v>OK</v>
      </c>
    </row>
    <row r="73" spans="1:5">
      <c r="A73" t="s">
        <v>348</v>
      </c>
      <c r="B73" s="33">
        <f>ROUND(('Cash flows'!$E$58)/IF(ABS('Cash flows'!$E$58)&lt;1000000,10000,100000),0)*IF(ABS('Cash flows'!$E$58)&lt;1000000,10000,100000)</f>
        <v>0</v>
      </c>
      <c r="C73" s="33">
        <v>0</v>
      </c>
      <c r="D73" s="33">
        <f>B73-C73</f>
        <v>0</v>
      </c>
      <c r="E73" s="50" t="str">
        <f>IF(ABS(D73)&lt;0.000001,"OK","CHECK")</f>
        <v>OK</v>
      </c>
    </row>
    <row r="74" spans="1:5">
      <c r="A74" t="s">
        <v>349</v>
      </c>
      <c r="B74" s="33">
        <f>ROUND(('Cash flows'!$F$58)/IF(ABS('Cash flows'!$F$58)&lt;1000000,10000,100000),0)*IF(ABS('Cash flows'!$F$58)&lt;1000000,10000,100000)</f>
        <v>4300000</v>
      </c>
      <c r="C74" s="33">
        <v>4300000</v>
      </c>
      <c r="D74" s="33">
        <f>B74-C74</f>
        <v>0</v>
      </c>
      <c r="E74" s="50" t="str">
        <f>IF(ABS(D74)&lt;0.000001,"OK","CHECK")</f>
        <v>OK</v>
      </c>
    </row>
    <row r="75" spans="1:5">
      <c r="A75" t="s">
        <v>350</v>
      </c>
      <c r="B75" s="33">
        <f>ROUND(('Cash flows'!$G$58)/IF(ABS('Cash flows'!$G$58)&lt;1000000,10000,100000),0)*IF(ABS('Cash flows'!$G$58)&lt;1000000,10000,100000)</f>
        <v>7500000</v>
      </c>
      <c r="C75" s="33">
        <v>7500000</v>
      </c>
      <c r="D75" s="33">
        <f>B75-C75</f>
        <v>0</v>
      </c>
      <c r="E75" s="50" t="str">
        <f>IF(ABS(D75)&lt;0.000001,"OK","CHECK")</f>
        <v>OK</v>
      </c>
    </row>
    <row r="76" spans="1:5">
      <c r="A76" t="s">
        <v>351</v>
      </c>
      <c r="B76" s="33">
        <f>ROUND(('Cash flows'!$H$58)/IF(ABS('Cash flows'!$H$58)&lt;1000000,10000,100000),0)*IF(ABS('Cash flows'!$H$58)&lt;1000000,10000,100000)</f>
        <v>47800000</v>
      </c>
      <c r="C76" s="33">
        <v>47800000</v>
      </c>
      <c r="D76" s="33">
        <f>B76-C76</f>
        <v>0</v>
      </c>
      <c r="E76" s="50" t="str">
        <f>IF(ABS(D76)&lt;0.000001,"OK","CHECK")</f>
        <v>OK</v>
      </c>
    </row>
    <row r="77" spans="1:5">
      <c r="A77" t="s">
        <v>352</v>
      </c>
      <c r="B77" s="33">
        <f>ROUND(('Cash flows'!$I$58)/IF(ABS('Cash flows'!$I$58)&lt;1000000,10000,100000),0)*IF(ABS('Cash flows'!$I$58)&lt;1000000,10000,100000)</f>
        <v>79400000</v>
      </c>
      <c r="C77" s="33">
        <v>79400000</v>
      </c>
      <c r="D77" s="33">
        <f>B77-C77</f>
        <v>0</v>
      </c>
      <c r="E77" s="50" t="str">
        <f>IF(ABS(D77)&lt;0.000001,"OK","CHECK")</f>
        <v>OK</v>
      </c>
    </row>
    <row r="78" spans="1:5">
      <c r="A78" t="s">
        <v>353</v>
      </c>
      <c r="B78" s="33">
        <f>ROUND(('Cash flows'!$J$58)/IF(ABS('Cash flows'!$J$58)&lt;1000000,10000,100000),0)*IF(ABS('Cash flows'!$J$58)&lt;1000000,10000,100000)</f>
        <v>45200000</v>
      </c>
      <c r="C78" s="33">
        <v>45200000</v>
      </c>
      <c r="D78" s="33">
        <f>B78-C78</f>
        <v>0</v>
      </c>
      <c r="E78" s="50" t="str">
        <f>IF(ABS(D78)&lt;0.000001,"OK","CHECK")</f>
        <v>OK</v>
      </c>
    </row>
    <row r="79" spans="1:5">
      <c r="A79" t="s">
        <v>354</v>
      </c>
      <c r="B79" s="33">
        <f>ROUND(('Cash flows'!$C$78)/IF(ABS('Cash flows'!$C$78)&lt;1000000,10000,100000),0)*IF(ABS('Cash flows'!$C$78)&lt;1000000,10000,100000)</f>
        <v>0</v>
      </c>
      <c r="C79" s="33">
        <v>0</v>
      </c>
      <c r="D79" s="33">
        <f>B79-C79</f>
        <v>0</v>
      </c>
      <c r="E79" s="50" t="str">
        <f>IF(ABS(D79)&lt;0.000001,"OK","CHECK")</f>
        <v>OK</v>
      </c>
    </row>
    <row r="80" spans="1:5">
      <c r="A80" t="s">
        <v>355</v>
      </c>
      <c r="B80" s="33">
        <f>ROUND(('Cash flows'!$D$78)/IF(ABS('Cash flows'!$D$78)&lt;1000000,10000,100000),0)*IF(ABS('Cash flows'!$D$78)&lt;1000000,10000,100000)</f>
        <v>0</v>
      </c>
      <c r="C80" s="33">
        <v>0</v>
      </c>
      <c r="D80" s="33">
        <f>B80-C80</f>
        <v>0</v>
      </c>
      <c r="E80" s="50" t="str">
        <f>IF(ABS(D80)&lt;0.000001,"OK","CHECK")</f>
        <v>OK</v>
      </c>
    </row>
    <row r="81" spans="1:5">
      <c r="A81" t="s">
        <v>356</v>
      </c>
      <c r="B81" s="33">
        <f>ROUND(('Cash flows'!$E$78)/IF(ABS('Cash flows'!$E$78)&lt;1000000,10000,100000),0)*IF(ABS('Cash flows'!$E$78)&lt;1000000,10000,100000)</f>
        <v>0</v>
      </c>
      <c r="C81" s="33">
        <v>0</v>
      </c>
      <c r="D81" s="33">
        <f>B81-C81</f>
        <v>0</v>
      </c>
      <c r="E81" s="50" t="str">
        <f>IF(ABS(D81)&lt;0.000001,"OK","CHECK")</f>
        <v>OK</v>
      </c>
    </row>
    <row r="82" spans="1:5">
      <c r="A82" t="s">
        <v>357</v>
      </c>
      <c r="B82" s="33">
        <f>ROUND(('Cash flows'!$F$78)/IF(ABS('Cash flows'!$F$78)&lt;1000000,10000,100000),0)*IF(ABS('Cash flows'!$F$78)&lt;1000000,10000,100000)</f>
        <v>4300000</v>
      </c>
      <c r="C82" s="33">
        <v>4300000</v>
      </c>
      <c r="D82" s="33">
        <f>B82-C82</f>
        <v>0</v>
      </c>
      <c r="E82" s="50" t="str">
        <f>IF(ABS(D82)&lt;0.000001,"OK","CHECK")</f>
        <v>OK</v>
      </c>
    </row>
    <row r="83" spans="1:5">
      <c r="A83" t="s">
        <v>358</v>
      </c>
      <c r="B83" s="33">
        <f>ROUND(('Cash flows'!$G$78)/IF(ABS('Cash flows'!$G$78)&lt;1000000,10000,100000),0)*IF(ABS('Cash flows'!$G$78)&lt;1000000,10000,100000)</f>
        <v>7500000</v>
      </c>
      <c r="C83" s="33">
        <v>7500000</v>
      </c>
      <c r="D83" s="33">
        <f>B83-C83</f>
        <v>0</v>
      </c>
      <c r="E83" s="50" t="str">
        <f>IF(ABS(D83)&lt;0.000001,"OK","CHECK")</f>
        <v>OK</v>
      </c>
    </row>
    <row r="84" spans="1:5">
      <c r="A84" t="s">
        <v>359</v>
      </c>
      <c r="B84" s="33">
        <f>ROUND(('Cash flows'!$H$78)/IF(ABS('Cash flows'!$H$78)&lt;1000000,10000,100000),0)*IF(ABS('Cash flows'!$H$78)&lt;1000000,10000,100000)</f>
        <v>47800000</v>
      </c>
      <c r="C84" s="33">
        <v>47800000</v>
      </c>
      <c r="D84" s="33">
        <f>B84-C84</f>
        <v>0</v>
      </c>
      <c r="E84" s="50" t="str">
        <f>IF(ABS(D84)&lt;0.000001,"OK","CHECK")</f>
        <v>OK</v>
      </c>
    </row>
    <row r="85" spans="1:5">
      <c r="A85" t="s">
        <v>360</v>
      </c>
      <c r="B85" s="33">
        <f>ROUND(('Cash flows'!$I$78)/IF(ABS('Cash flows'!$I$78)&lt;1000000,10000,100000),0)*IF(ABS('Cash flows'!$I$78)&lt;1000000,10000,100000)</f>
        <v>71300000</v>
      </c>
      <c r="C85" s="33">
        <v>71300000</v>
      </c>
      <c r="D85" s="33">
        <f>B85-C85</f>
        <v>0</v>
      </c>
      <c r="E85" s="50" t="str">
        <f>IF(ABS(D85)&lt;0.000001,"OK","CHECK")</f>
        <v>OK</v>
      </c>
    </row>
    <row r="86" spans="1:5">
      <c r="A86" t="s">
        <v>361</v>
      </c>
      <c r="B86" s="33">
        <f>ROUND(('Cash flows'!$J$78)/IF(ABS('Cash flows'!$J$78)&lt;1000000,10000,100000),0)*IF(ABS('Cash flows'!$J$78)&lt;1000000,10000,100000)</f>
        <v>36300000</v>
      </c>
      <c r="C86" s="33">
        <v>36300000</v>
      </c>
      <c r="D86" s="33">
        <f>B86-C86</f>
        <v>0</v>
      </c>
      <c r="E86" s="50" t="str">
        <f>IF(ABS(D86)&lt;0.000001,"OK","CHECK")</f>
        <v>OK</v>
      </c>
    </row>
    <row r="87" spans="1:5">
      <c r="A87" t="s">
        <v>362</v>
      </c>
      <c r="B87" s="33">
        <f>ROUND(('Cash flows'!$C$79)/IF(ABS('Cash flows'!$C$79)&lt;1000000,10000,100000),0)*IF(ABS('Cash flows'!$C$79)&lt;1000000,10000,100000)</f>
        <v>0</v>
      </c>
      <c r="C87" s="33">
        <v>0</v>
      </c>
      <c r="D87" s="33">
        <f>B87-C87</f>
        <v>0</v>
      </c>
      <c r="E87" s="50" t="str">
        <f>IF(ABS(D87)&lt;0.000001,"OK","CHECK")</f>
        <v>OK</v>
      </c>
    </row>
    <row r="88" spans="1:5">
      <c r="A88" t="s">
        <v>363</v>
      </c>
      <c r="B88" s="33">
        <f>ROUND(('Cash flows'!$D$79)/IF(ABS('Cash flows'!$D$79)&lt;1000000,10000,100000),0)*IF(ABS('Cash flows'!$D$79)&lt;1000000,10000,100000)</f>
        <v>0</v>
      </c>
      <c r="C88" s="33">
        <v>0</v>
      </c>
      <c r="D88" s="33">
        <f>B88-C88</f>
        <v>0</v>
      </c>
      <c r="E88" s="50" t="str">
        <f>IF(ABS(D88)&lt;0.000001,"OK","CHECK")</f>
        <v>OK</v>
      </c>
    </row>
    <row r="89" spans="1:5">
      <c r="A89" t="s">
        <v>364</v>
      </c>
      <c r="B89" s="33">
        <f>ROUND(('Cash flows'!$E$79)/IF(ABS('Cash flows'!$E$79)&lt;1000000,10000,100000),0)*IF(ABS('Cash flows'!$E$79)&lt;1000000,10000,100000)</f>
        <v>0</v>
      </c>
      <c r="C89" s="33">
        <v>0</v>
      </c>
      <c r="D89" s="33">
        <f>B89-C89</f>
        <v>0</v>
      </c>
      <c r="E89" s="50" t="str">
        <f>IF(ABS(D89)&lt;0.000001,"OK","CHECK")</f>
        <v>OK</v>
      </c>
    </row>
    <row r="90" spans="1:5">
      <c r="A90" t="s">
        <v>365</v>
      </c>
      <c r="B90" s="33">
        <f>ROUND(('Cash flows'!$F$79)/IF(ABS('Cash flows'!$F$79)&lt;1000000,10000,100000),0)*IF(ABS('Cash flows'!$F$79)&lt;1000000,10000,100000)</f>
        <v>0</v>
      </c>
      <c r="C90" s="33">
        <v>0</v>
      </c>
      <c r="D90" s="33">
        <f>B90-C90</f>
        <v>0</v>
      </c>
      <c r="E90" s="50" t="str">
        <f>IF(ABS(D90)&lt;0.000001,"OK","CHECK")</f>
        <v>OK</v>
      </c>
    </row>
    <row r="91" spans="1:5">
      <c r="A91" t="s">
        <v>366</v>
      </c>
      <c r="B91" s="33">
        <f>ROUND(('Cash flows'!$G$79)/IF(ABS('Cash flows'!$G$79)&lt;1000000,10000,100000),0)*IF(ABS('Cash flows'!$G$79)&lt;1000000,10000,100000)</f>
        <v>0</v>
      </c>
      <c r="C91" s="33">
        <v>0</v>
      </c>
      <c r="D91" s="33">
        <f>B91-C91</f>
        <v>0</v>
      </c>
      <c r="E91" s="50" t="str">
        <f>IF(ABS(D91)&lt;0.000001,"OK","CHECK")</f>
        <v>OK</v>
      </c>
    </row>
    <row r="92" spans="1:5">
      <c r="A92" t="s">
        <v>367</v>
      </c>
      <c r="B92" s="33">
        <f>ROUND(('Cash flows'!$H$79)/IF(ABS('Cash flows'!$H$79)&lt;1000000,10000,100000),0)*IF(ABS('Cash flows'!$H$79)&lt;1000000,10000,100000)</f>
        <v>0</v>
      </c>
      <c r="C92" s="33">
        <v>0</v>
      </c>
      <c r="D92" s="33">
        <f>B92-C92</f>
        <v>0</v>
      </c>
      <c r="E92" s="50" t="str">
        <f>IF(ABS(D92)&lt;0.000001,"OK","CHECK")</f>
        <v>OK</v>
      </c>
    </row>
    <row r="93" spans="1:5">
      <c r="A93" t="s">
        <v>368</v>
      </c>
      <c r="B93" s="33">
        <f>ROUND(('Cash flows'!$I$79)/IF(ABS('Cash flows'!$I$79)&lt;1000000,10000,100000),0)*IF(ABS('Cash flows'!$I$79)&lt;1000000,10000,100000)</f>
        <v>8100000</v>
      </c>
      <c r="C93" s="33">
        <v>8100000</v>
      </c>
      <c r="D93" s="33">
        <f>B93-C93</f>
        <v>0</v>
      </c>
      <c r="E93" s="50" t="str">
        <f>IF(ABS(D93)&lt;0.000001,"OK","CHECK")</f>
        <v>OK</v>
      </c>
    </row>
    <row r="94" spans="1:5">
      <c r="A94" t="s">
        <v>369</v>
      </c>
      <c r="B94" s="33">
        <f>ROUND(('Cash flows'!$J$79)/IF(ABS('Cash flows'!$J$79)&lt;1000000,10000,100000),0)*IF(ABS('Cash flows'!$J$79)&lt;1000000,10000,100000)</f>
        <v>8900000</v>
      </c>
      <c r="C94" s="33">
        <v>8900000</v>
      </c>
      <c r="D94" s="33">
        <f>B94-C94</f>
        <v>0</v>
      </c>
      <c r="E94" s="50" t="str">
        <f>IF(ABS(D94)&lt;0.000001,"OK","CHECK")</f>
        <v>OK</v>
      </c>
    </row>
    <row r="95" spans="1:5">
      <c r="A95" t="s">
        <v>370</v>
      </c>
      <c r="B95" s="33">
        <f>'Cash flows'!$B$129</f>
        <v>115800000</v>
      </c>
      <c r="C95" s="33">
        <v>115800000</v>
      </c>
      <c r="D95" s="33">
        <f>B95-C95</f>
        <v>0</v>
      </c>
      <c r="E95" s="50" t="str">
        <f>IF(ABS(D95)&lt;0.000001,"OK","CHECK")</f>
        <v>OK</v>
      </c>
    </row>
    <row r="96" spans="1:5">
      <c r="A96" t="s">
        <v>371</v>
      </c>
      <c r="B96" s="33">
        <f>'Cash flows'!$B$130</f>
        <v>112800000</v>
      </c>
      <c r="C96" s="33">
        <v>112800000</v>
      </c>
      <c r="D96" s="33">
        <f>B96-C96</f>
        <v>0</v>
      </c>
      <c r="E96" s="50" t="str">
        <f>IF(ABS(D96)&lt;0.000001,"OK","CHECK")</f>
        <v>OK</v>
      </c>
    </row>
    <row r="97" spans="1:5">
      <c r="A97" t="s">
        <v>372</v>
      </c>
      <c r="B97" s="33">
        <f>'Cash flows'!$B$131</f>
        <v>3000000</v>
      </c>
      <c r="C97" s="33">
        <v>3000000</v>
      </c>
      <c r="D97" s="33">
        <f>B97-C97</f>
        <v>0</v>
      </c>
      <c r="E97" s="50" t="str">
        <f>IF(ABS(D97)&lt;0.000001,"OK","CHECK")</f>
        <v>OK</v>
      </c>
    </row>
    <row r="98" spans="1:5">
      <c r="A98" t="s">
        <v>373</v>
      </c>
      <c r="B98" s="33">
        <f>'Cash flows'!$B$132</f>
        <v>99200000</v>
      </c>
      <c r="C98" s="33">
        <v>99200000</v>
      </c>
      <c r="D98" s="33">
        <f>B98-C98</f>
        <v>0</v>
      </c>
      <c r="E98" s="50" t="str">
        <f>IF(ABS(D98)&lt;0.000001,"OK","CHECK")</f>
        <v>OK</v>
      </c>
    </row>
    <row r="99" spans="1:5">
      <c r="A99" t="s">
        <v>374</v>
      </c>
      <c r="B99" s="33">
        <f>'Cash flows'!$B$133</f>
        <v>12100000</v>
      </c>
      <c r="C99" s="33">
        <v>12100000</v>
      </c>
      <c r="D99" s="33">
        <f>B99-C99</f>
        <v>0</v>
      </c>
      <c r="E99" s="50" t="str">
        <f>IF(ABS(D99)&lt;0.000001,"OK","CHECK")</f>
        <v>OK</v>
      </c>
    </row>
    <row r="100" spans="1:5">
      <c r="A100" t="s">
        <v>375</v>
      </c>
      <c r="B100" s="33">
        <f>'Cash flows'!$B$134</f>
        <v>3900000</v>
      </c>
      <c r="C100" s="33">
        <v>3900000</v>
      </c>
      <c r="D100" s="33">
        <f>B100-C100</f>
        <v>0</v>
      </c>
      <c r="E100" s="50" t="str">
        <f>IF(ABS(D100)&lt;0.000001,"OK","CHECK")</f>
        <v>OK</v>
      </c>
    </row>
    <row r="101" spans="1:5">
      <c r="A101" t="s">
        <v>376</v>
      </c>
      <c r="B101" s="33">
        <f>'Cash flows'!$B$135</f>
        <v>112100000</v>
      </c>
      <c r="C101" s="33">
        <v>112100000</v>
      </c>
      <c r="D101" s="33">
        <f>B101-C101</f>
        <v>0</v>
      </c>
      <c r="E101" s="50" t="str">
        <f>IF(ABS(D101)&lt;0.000001,"OK","CHECK")</f>
        <v>OK</v>
      </c>
    </row>
    <row r="102" spans="1:5">
      <c r="A102" t="s">
        <v>377</v>
      </c>
      <c r="B102" s="33">
        <f>'Cash flows'!$B$136</f>
        <v>0</v>
      </c>
      <c r="C102" s="33">
        <v>0</v>
      </c>
      <c r="D102" s="33">
        <f>B102-C102</f>
        <v>0</v>
      </c>
      <c r="E102" s="50" t="str">
        <f>IF(ABS(D102)&lt;0.000001,"OK","CHECK")</f>
        <v>OK</v>
      </c>
    </row>
    <row r="103" spans="1:5">
      <c r="A103" t="s">
        <v>378</v>
      </c>
      <c r="B103" s="35">
        <f>'Cash flows'!$B$137</f>
        <v>1.1</v>
      </c>
      <c r="C103" s="35">
        <v>1.1</v>
      </c>
      <c r="D103" s="35">
        <f>B103-C103</f>
        <v>0.0</v>
      </c>
      <c r="E103" s="50" t="str">
        <f>IF(ABS(D103)&lt;0.000001,"OK","CHECK")</f>
        <v>OK</v>
      </c>
    </row>
    <row r="104" spans="1:5">
      <c r="A104" t="s">
        <v>379</v>
      </c>
      <c r="B104" s="72">
        <f>'Cash flows'!$B$138</f>
        <v>0.03</v>
      </c>
      <c r="C104" s="72">
        <v>0.03</v>
      </c>
      <c r="D104" s="72">
        <f>B104-C104</f>
        <v>0.0</v>
      </c>
      <c r="E104" s="50" t="str">
        <f>IF(ABS(D104)&lt;0.000001,"OK","CHECK")</f>
        <v>OK</v>
      </c>
    </row>
    <row r="105" spans="1:5">
      <c r="A105" t="s">
        <v>380</v>
      </c>
      <c r="B105" s="72">
        <f>'Cash flows'!$B$139</f>
        <v>0.08</v>
      </c>
      <c r="C105" s="72">
        <v>0.08</v>
      </c>
      <c r="D105" s="72">
        <f>B105-C105</f>
        <v>0.0</v>
      </c>
      <c r="E105" s="50" t="str">
        <f>IF(ABS(D105)&lt;0.000001,"OK","CHECK")</f>
        <v>OK</v>
      </c>
    </row>
    <row r="106" spans="1:5">
      <c r="A106" t="s">
        <v>381</v>
      </c>
      <c r="B106" s="35">
        <f>'Cash flows'!$B$140</f>
        <v>0.4</v>
      </c>
      <c r="C106" s="35">
        <v>0.4</v>
      </c>
      <c r="D106" s="35">
        <f>B106-C106</f>
        <v>0.0</v>
      </c>
      <c r="E106" s="50" t="str">
        <f>IF(ABS(D106)&lt;0.000001,"OK","CHECK")</f>
        <v>OK</v>
      </c>
    </row>
    <row r="107" spans="1:5">
      <c r="A107" t="s">
        <v>382</v>
      </c>
      <c r="B107" s="33">
        <f>ROUND(('Cash flows'!$C$108)/IF(ABS('Cash flows'!$C$108)&lt;1000000,10000,100000),0)*IF(ABS('Cash flows'!$C$108)&lt;1000000,10000,100000)</f>
        <v>11800000</v>
      </c>
      <c r="C107" s="33">
        <v>11800000</v>
      </c>
      <c r="D107" s="33">
        <f>B107-C107</f>
        <v>0</v>
      </c>
      <c r="E107" s="50" t="str">
        <f>IF(ABS(D107)&lt;0.000001,"OK","CHECK")</f>
        <v>OK</v>
      </c>
    </row>
    <row r="108" spans="1:5">
      <c r="A108" t="s">
        <v>383</v>
      </c>
      <c r="B108" s="33">
        <f>ROUND(('Cash flows'!$D$108)/IF(ABS('Cash flows'!$D$108)&lt;1000000,10000,100000),0)*IF(ABS('Cash flows'!$D$108)&lt;1000000,10000,100000)</f>
        <v>24400000</v>
      </c>
      <c r="C108" s="33">
        <v>24400000</v>
      </c>
      <c r="D108" s="33">
        <f>B108-C108</f>
        <v>0</v>
      </c>
      <c r="E108" s="50" t="str">
        <f>IF(ABS(D108)&lt;0.000001,"OK","CHECK")</f>
        <v>OK</v>
      </c>
    </row>
    <row r="109" spans="1:5">
      <c r="A109" t="s">
        <v>384</v>
      </c>
      <c r="B109" s="33">
        <f>ROUND(('Cash flows'!$E$108)/IF(ABS('Cash flows'!$E$108)&lt;1000000,10000,100000),0)*IF(ABS('Cash flows'!$E$108)&lt;1000000,10000,100000)</f>
        <v>43900000</v>
      </c>
      <c r="C109" s="33">
        <v>43900000</v>
      </c>
      <c r="D109" s="33">
        <f>B109-C109</f>
        <v>0</v>
      </c>
      <c r="E109" s="50" t="str">
        <f>IF(ABS(D109)&lt;0.000001,"OK","CHECK")</f>
        <v>OK</v>
      </c>
    </row>
    <row r="110" spans="1:5">
      <c r="A110" t="s">
        <v>385</v>
      </c>
      <c r="B110" s="33">
        <f>ROUND(('Cash flows'!$F$108)/IF(ABS('Cash flows'!$F$108)&lt;1000000,10000,100000),0)*IF(ABS('Cash flows'!$F$108)&lt;1000000,10000,100000)</f>
        <v>13800000</v>
      </c>
      <c r="C110" s="33">
        <v>13800000</v>
      </c>
      <c r="D110" s="33">
        <f>B110-C110</f>
        <v>0</v>
      </c>
      <c r="E110" s="50" t="str">
        <f>IF(ABS(D110)&lt;0.000001,"OK","CHECK")</f>
        <v>OK</v>
      </c>
    </row>
    <row r="111" spans="1:5">
      <c r="A111" t="s">
        <v>386</v>
      </c>
      <c r="B111" s="33">
        <f>ROUND(('Cash flows'!$G$108)/IF(ABS('Cash flows'!$G$108)&lt;1000000,10000,100000),0)*IF(ABS('Cash flows'!$G$108)&lt;1000000,10000,100000)</f>
        <v>2400000</v>
      </c>
      <c r="C111" s="33">
        <v>2400000</v>
      </c>
      <c r="D111" s="33">
        <f>B111-C111</f>
        <v>0</v>
      </c>
      <c r="E111" s="50" t="str">
        <f>IF(ABS(D111)&lt;0.000001,"OK","CHECK")</f>
        <v>OK</v>
      </c>
    </row>
    <row r="112" spans="1:5">
      <c r="A112" t="s">
        <v>387</v>
      </c>
      <c r="B112" s="33">
        <f>ROUND(('Cash flows'!$H$108)/IF(ABS('Cash flows'!$H$108)&lt;1000000,10000,100000),0)*IF(ABS('Cash flows'!$H$108)&lt;1000000,10000,100000)</f>
        <v>1500000</v>
      </c>
      <c r="C112" s="33">
        <v>1500000</v>
      </c>
      <c r="D112" s="33">
        <f>B112-C112</f>
        <v>0</v>
      </c>
      <c r="E112" s="50" t="str">
        <f>IF(ABS(D112)&lt;0.000001,"OK","CHECK")</f>
        <v>OK</v>
      </c>
    </row>
    <row r="113" spans="1:5">
      <c r="A113" t="s">
        <v>388</v>
      </c>
      <c r="B113" s="33">
        <f>ROUND(('Cash flows'!$I$108)/IF(ABS('Cash flows'!$I$108)&lt;1000000,10000,100000),0)*IF(ABS('Cash flows'!$I$108)&lt;1000000,10000,100000)</f>
        <v>1100000</v>
      </c>
      <c r="C113" s="33">
        <v>1100000</v>
      </c>
      <c r="D113" s="33">
        <f>B113-C113</f>
        <v>0</v>
      </c>
      <c r="E113" s="50" t="str">
        <f>IF(ABS(D113)&lt;0.000001,"OK","CHECK")</f>
        <v>OK</v>
      </c>
    </row>
    <row r="114" spans="1:5">
      <c r="A114" t="s">
        <v>389</v>
      </c>
      <c r="B114" s="33">
        <f>ROUND(('Cash flows'!$J$108)/IF(ABS('Cash flows'!$J$108)&lt;1000000,10000,100000),0)*IF(ABS('Cash flows'!$J$108)&lt;1000000,10000,100000)</f>
        <v>580000</v>
      </c>
      <c r="C114" s="33">
        <v>580000</v>
      </c>
      <c r="D114" s="33">
        <f>B114-C114</f>
        <v>0</v>
      </c>
      <c r="E114" s="50" t="str">
        <f>IF(ABS(D114)&lt;0.000001,"OK","CHECK")</f>
        <v>OK</v>
      </c>
    </row>
    <row r="115" spans="1:5">
      <c r="A115" t="s">
        <v>390</v>
      </c>
      <c r="B115" s="33">
        <f>ROUND(('Cash flows'!$C$103)/IF(ABS('Cash flows'!$C$103)&lt;1000000,10000,100000),0)*IF(ABS('Cash flows'!$C$103)&lt;1000000,10000,100000)</f>
        <v>0</v>
      </c>
      <c r="C115" s="33">
        <v>0</v>
      </c>
      <c r="D115" s="33">
        <f>B115-C115</f>
        <v>0</v>
      </c>
      <c r="E115" s="50" t="str">
        <f>IF(ABS(D115)&lt;0.000001,"OK","CHECK")</f>
        <v>OK</v>
      </c>
    </row>
    <row r="116" spans="1:5">
      <c r="A116" t="s">
        <v>391</v>
      </c>
      <c r="B116" s="33">
        <f>ROUND(('Cash flows'!$D$103)/IF(ABS('Cash flows'!$D$103)&lt;1000000,10000,100000),0)*IF(ABS('Cash flows'!$D$103)&lt;1000000,10000,100000)</f>
        <v>0</v>
      </c>
      <c r="C116" s="33">
        <v>0</v>
      </c>
      <c r="D116" s="33">
        <f>B116-C116</f>
        <v>0</v>
      </c>
      <c r="E116" s="50" t="str">
        <f>IF(ABS(D116)&lt;0.000001,"OK","CHECK")</f>
        <v>OK</v>
      </c>
    </row>
    <row r="117" spans="1:5">
      <c r="A117" t="s">
        <v>392</v>
      </c>
      <c r="B117" s="33">
        <f>ROUND(('Cash flows'!$E$103)/IF(ABS('Cash flows'!$E$103)&lt;1000000,10000,100000),0)*IF(ABS('Cash flows'!$E$103)&lt;1000000,10000,100000)</f>
        <v>0</v>
      </c>
      <c r="C117" s="33">
        <v>0</v>
      </c>
      <c r="D117" s="33">
        <f>B117-C117</f>
        <v>0</v>
      </c>
      <c r="E117" s="50" t="str">
        <f>IF(ABS(D117)&lt;0.000001,"OK","CHECK")</f>
        <v>OK</v>
      </c>
    </row>
    <row r="118" spans="1:5">
      <c r="A118" t="s">
        <v>393</v>
      </c>
      <c r="B118" s="33">
        <f>ROUND(('Cash flows'!$F$103)/IF(ABS('Cash flows'!$F$103)&lt;1000000,10000,100000),0)*IF(ABS('Cash flows'!$F$103)&lt;1000000,10000,100000)</f>
        <v>4300000</v>
      </c>
      <c r="C118" s="33">
        <v>4300000</v>
      </c>
      <c r="D118" s="33">
        <f>B118-C118</f>
        <v>0</v>
      </c>
      <c r="E118" s="50" t="str">
        <f>IF(ABS(D118)&lt;0.000001,"OK","CHECK")</f>
        <v>OK</v>
      </c>
    </row>
    <row r="119" spans="1:5">
      <c r="A119" t="s">
        <v>394</v>
      </c>
      <c r="B119" s="33">
        <f>ROUND(('Cash flows'!$G$103)/IF(ABS('Cash flows'!$G$103)&lt;1000000,10000,100000),0)*IF(ABS('Cash flows'!$G$103)&lt;1000000,10000,100000)</f>
        <v>7500000</v>
      </c>
      <c r="C119" s="33">
        <v>7500000</v>
      </c>
      <c r="D119" s="33">
        <f>B119-C119</f>
        <v>0</v>
      </c>
      <c r="E119" s="50" t="str">
        <f>IF(ABS(D119)&lt;0.000001,"OK","CHECK")</f>
        <v>OK</v>
      </c>
    </row>
    <row r="120" spans="1:5">
      <c r="A120" t="s">
        <v>395</v>
      </c>
      <c r="B120" s="33">
        <f>ROUND(('Cash flows'!$H$103)/IF(ABS('Cash flows'!$H$103)&lt;1000000,10000,100000),0)*IF(ABS('Cash flows'!$H$103)&lt;1000000,10000,100000)</f>
        <v>31200000</v>
      </c>
      <c r="C120" s="33">
        <v>31200000</v>
      </c>
      <c r="D120" s="33">
        <f>B120-C120</f>
        <v>0</v>
      </c>
      <c r="E120" s="50" t="str">
        <f>IF(ABS(D120)&lt;0.000001,"OK","CHECK")</f>
        <v>OK</v>
      </c>
    </row>
    <row r="121" spans="1:5">
      <c r="A121" t="s">
        <v>396</v>
      </c>
      <c r="B121" s="33">
        <f>ROUND(('Cash flows'!$I$103)/IF(ABS('Cash flows'!$I$103)&lt;1000000,10000,100000),0)*IF(ABS('Cash flows'!$I$103)&lt;1000000,10000,100000)</f>
        <v>46800000</v>
      </c>
      <c r="C121" s="33">
        <v>46800000</v>
      </c>
      <c r="D121" s="33">
        <f>B121-C121</f>
        <v>0</v>
      </c>
      <c r="E121" s="50" t="str">
        <f>IF(ABS(D121)&lt;0.000001,"OK","CHECK")</f>
        <v>OK</v>
      </c>
    </row>
    <row r="122" spans="1:5">
      <c r="A122" t="s">
        <v>397</v>
      </c>
      <c r="B122" s="33">
        <f>ROUND(('Cash flows'!$J$103)/IF(ABS('Cash flows'!$J$103)&lt;1000000,10000,100000),0)*IF(ABS('Cash flows'!$J$103)&lt;1000000,10000,100000)</f>
        <v>22300000</v>
      </c>
      <c r="C122" s="33">
        <v>22300000</v>
      </c>
      <c r="D122" s="33">
        <f>B122-C122</f>
        <v>0</v>
      </c>
      <c r="E122" s="50" t="str">
        <f>IF(ABS(D122)&lt;0.000001,"OK","CHECK")</f>
        <v>OK</v>
      </c>
    </row>
    <row r="123" spans="1:5">
      <c r="A123" t="s">
        <v>398</v>
      </c>
      <c r="B123" s="33">
        <f>ROUND(('Cash flows'!$C$123)/IF(ABS('Cash flows'!$C$123)&lt;1000000,10000,100000),0)*IF(ABS('Cash flows'!$C$123)&lt;1000000,10000,100000)</f>
        <v>0</v>
      </c>
      <c r="C123" s="33">
        <v>0</v>
      </c>
      <c r="D123" s="33">
        <f>B123-C123</f>
        <v>0</v>
      </c>
      <c r="E123" s="50" t="str">
        <f>IF(ABS(D123)&lt;0.000001,"OK","CHECK")</f>
        <v>OK</v>
      </c>
    </row>
    <row r="124" spans="1:5">
      <c r="A124" t="s">
        <v>399</v>
      </c>
      <c r="B124" s="33">
        <f>ROUND(('Cash flows'!$D$123)/IF(ABS('Cash flows'!$D$123)&lt;1000000,10000,100000),0)*IF(ABS('Cash flows'!$D$123)&lt;1000000,10000,100000)</f>
        <v>0</v>
      </c>
      <c r="C124" s="33">
        <v>0</v>
      </c>
      <c r="D124" s="33">
        <f>B124-C124</f>
        <v>0</v>
      </c>
      <c r="E124" s="50" t="str">
        <f>IF(ABS(D124)&lt;0.000001,"OK","CHECK")</f>
        <v>OK</v>
      </c>
    </row>
    <row r="125" spans="1:5">
      <c r="A125" t="s">
        <v>400</v>
      </c>
      <c r="B125" s="33">
        <f>ROUND(('Cash flows'!$E$123)/IF(ABS('Cash flows'!$E$123)&lt;1000000,10000,100000),0)*IF(ABS('Cash flows'!$E$123)&lt;1000000,10000,100000)</f>
        <v>0</v>
      </c>
      <c r="C125" s="33">
        <v>0</v>
      </c>
      <c r="D125" s="33">
        <f>B125-C125</f>
        <v>0</v>
      </c>
      <c r="E125" s="50" t="str">
        <f>IF(ABS(D125)&lt;0.000001,"OK","CHECK")</f>
        <v>OK</v>
      </c>
    </row>
    <row r="126" spans="1:5">
      <c r="A126" t="s">
        <v>401</v>
      </c>
      <c r="B126" s="33">
        <f>ROUND(('Cash flows'!$F$123)/IF(ABS('Cash flows'!$F$123)&lt;1000000,10000,100000),0)*IF(ABS('Cash flows'!$F$123)&lt;1000000,10000,100000)</f>
        <v>4300000</v>
      </c>
      <c r="C126" s="33">
        <v>4300000</v>
      </c>
      <c r="D126" s="33">
        <f>B126-C126</f>
        <v>0</v>
      </c>
      <c r="E126" s="50" t="str">
        <f>IF(ABS(D126)&lt;0.000001,"OK","CHECK")</f>
        <v>OK</v>
      </c>
    </row>
    <row r="127" spans="1:5">
      <c r="A127" t="s">
        <v>402</v>
      </c>
      <c r="B127" s="33">
        <f>ROUND(('Cash flows'!$G$123)/IF(ABS('Cash flows'!$G$123)&lt;1000000,10000,100000),0)*IF(ABS('Cash flows'!$G$123)&lt;1000000,10000,100000)</f>
        <v>7500000</v>
      </c>
      <c r="C127" s="33">
        <v>7500000</v>
      </c>
      <c r="D127" s="33">
        <f>B127-C127</f>
        <v>0</v>
      </c>
      <c r="E127" s="50" t="str">
        <f>IF(ABS(D127)&lt;0.000001,"OK","CHECK")</f>
        <v>OK</v>
      </c>
    </row>
    <row r="128" spans="1:5">
      <c r="A128" t="s">
        <v>403</v>
      </c>
      <c r="B128" s="33">
        <f>ROUND(('Cash flows'!$H$123)/IF(ABS('Cash flows'!$H$123)&lt;1000000,10000,100000),0)*IF(ABS('Cash flows'!$H$123)&lt;1000000,10000,100000)</f>
        <v>31200000</v>
      </c>
      <c r="C128" s="33">
        <v>31200000</v>
      </c>
      <c r="D128" s="33">
        <f>B128-C128</f>
        <v>0</v>
      </c>
      <c r="E128" s="50" t="str">
        <f>IF(ABS(D128)&lt;0.000001,"OK","CHECK")</f>
        <v>OK</v>
      </c>
    </row>
    <row r="129" spans="1:5">
      <c r="A129" t="s">
        <v>404</v>
      </c>
      <c r="B129" s="33">
        <f>ROUND(('Cash flows'!$I$123)/IF(ABS('Cash flows'!$I$123)&lt;1000000,10000,100000),0)*IF(ABS('Cash flows'!$I$123)&lt;1000000,10000,100000)</f>
        <v>46800000</v>
      </c>
      <c r="C129" s="33">
        <v>46800000</v>
      </c>
      <c r="D129" s="33">
        <f>B129-C129</f>
        <v>0</v>
      </c>
      <c r="E129" s="50" t="str">
        <f>IF(ABS(D129)&lt;0.000001,"OK","CHECK")</f>
        <v>OK</v>
      </c>
    </row>
    <row r="130" spans="1:5">
      <c r="A130" t="s">
        <v>405</v>
      </c>
      <c r="B130" s="33">
        <f>ROUND(('Cash flows'!$J$123)/IF(ABS('Cash flows'!$J$123)&lt;1000000,10000,100000),0)*IF(ABS('Cash flows'!$J$123)&lt;1000000,10000,100000)</f>
        <v>22300000</v>
      </c>
      <c r="C130" s="33">
        <v>22300000</v>
      </c>
      <c r="D130" s="33">
        <f>B130-C130</f>
        <v>0</v>
      </c>
      <c r="E130" s="50" t="str">
        <f>IF(ABS(D130)&lt;0.000001,"OK","CHECK")</f>
        <v>OK</v>
      </c>
    </row>
    <row r="131" spans="1:5">
      <c r="A131" t="s">
        <v>406</v>
      </c>
      <c r="B131" s="33">
        <f>ROUND(('Cash flows'!$C$124)/IF(ABS('Cash flows'!$C$124)&lt;1000000,10000,100000),0)*IF(ABS('Cash flows'!$C$124)&lt;1000000,10000,100000)</f>
        <v>0</v>
      </c>
      <c r="C131" s="33">
        <v>0</v>
      </c>
      <c r="D131" s="33">
        <f>B131-C131</f>
        <v>0</v>
      </c>
      <c r="E131" s="50" t="str">
        <f>IF(ABS(D131)&lt;0.000001,"OK","CHECK")</f>
        <v>OK</v>
      </c>
    </row>
    <row r="132" spans="1:5">
      <c r="A132" t="s">
        <v>407</v>
      </c>
      <c r="B132" s="33">
        <f>ROUND(('Cash flows'!$D$124)/IF(ABS('Cash flows'!$D$124)&lt;1000000,10000,100000),0)*IF(ABS('Cash flows'!$D$124)&lt;1000000,10000,100000)</f>
        <v>0</v>
      </c>
      <c r="C132" s="33">
        <v>0</v>
      </c>
      <c r="D132" s="33">
        <f>B132-C132</f>
        <v>0</v>
      </c>
      <c r="E132" s="50" t="str">
        <f>IF(ABS(D132)&lt;0.000001,"OK","CHECK")</f>
        <v>OK</v>
      </c>
    </row>
    <row r="133" spans="1:5">
      <c r="A133" t="s">
        <v>408</v>
      </c>
      <c r="B133" s="33">
        <f>ROUND(('Cash flows'!$E$124)/IF(ABS('Cash flows'!$E$124)&lt;1000000,10000,100000),0)*IF(ABS('Cash flows'!$E$124)&lt;1000000,10000,100000)</f>
        <v>0</v>
      </c>
      <c r="C133" s="33">
        <v>0</v>
      </c>
      <c r="D133" s="33">
        <f>B133-C133</f>
        <v>0</v>
      </c>
      <c r="E133" s="50" t="str">
        <f>IF(ABS(D133)&lt;0.000001,"OK","CHECK")</f>
        <v>OK</v>
      </c>
    </row>
    <row r="134" spans="1:5">
      <c r="A134" t="s">
        <v>409</v>
      </c>
      <c r="B134" s="33">
        <f>ROUND(('Cash flows'!$F$124)/IF(ABS('Cash flows'!$F$124)&lt;1000000,10000,100000),0)*IF(ABS('Cash flows'!$F$124)&lt;1000000,10000,100000)</f>
        <v>0</v>
      </c>
      <c r="C134" s="33">
        <v>0</v>
      </c>
      <c r="D134" s="33">
        <f>B134-C134</f>
        <v>0</v>
      </c>
      <c r="E134" s="50" t="str">
        <f>IF(ABS(D134)&lt;0.000001,"OK","CHECK")</f>
        <v>OK</v>
      </c>
    </row>
    <row r="135" spans="1:5">
      <c r="A135" t="s">
        <v>410</v>
      </c>
      <c r="B135" s="33">
        <f>ROUND(('Cash flows'!$G$124)/IF(ABS('Cash flows'!$G$124)&lt;1000000,10000,100000),0)*IF(ABS('Cash flows'!$G$124)&lt;1000000,10000,100000)</f>
        <v>0</v>
      </c>
      <c r="C135" s="33">
        <v>0</v>
      </c>
      <c r="D135" s="33">
        <f>B135-C135</f>
        <v>0</v>
      </c>
      <c r="E135" s="50" t="str">
        <f>IF(ABS(D135)&lt;0.000001,"OK","CHECK")</f>
        <v>OK</v>
      </c>
    </row>
    <row r="136" spans="1:5">
      <c r="A136" t="s">
        <v>411</v>
      </c>
      <c r="B136" s="33">
        <f>ROUND(('Cash flows'!$H$124)/IF(ABS('Cash flows'!$H$124)&lt;1000000,10000,100000),0)*IF(ABS('Cash flows'!$H$124)&lt;1000000,10000,100000)</f>
        <v>0</v>
      </c>
      <c r="C136" s="33">
        <v>0</v>
      </c>
      <c r="D136" s="33">
        <f>B136-C136</f>
        <v>0</v>
      </c>
      <c r="E136" s="50" t="str">
        <f>IF(ABS(D136)&lt;0.000001,"OK","CHECK")</f>
        <v>OK</v>
      </c>
    </row>
    <row r="137" spans="1:5">
      <c r="A137" t="s">
        <v>412</v>
      </c>
      <c r="B137" s="33">
        <f>ROUND(('Cash flows'!$I$124)/IF(ABS('Cash flows'!$I$124)&lt;1000000,10000,100000),0)*IF(ABS('Cash flows'!$I$124)&lt;1000000,10000,100000)</f>
        <v>0</v>
      </c>
      <c r="C137" s="33">
        <v>0</v>
      </c>
      <c r="D137" s="33">
        <f>B137-C137</f>
        <v>0</v>
      </c>
      <c r="E137" s="50" t="str">
        <f>IF(ABS(D137)&lt;0.000001,"OK","CHECK")</f>
        <v>OK</v>
      </c>
    </row>
    <row r="138" spans="1:5">
      <c r="A138" t="s">
        <v>413</v>
      </c>
      <c r="B138" s="33">
        <f>ROUND(('Cash flows'!$J$124)/IF(ABS('Cash flows'!$J$124)&lt;1000000,10000,100000),0)*IF(ABS('Cash flows'!$J$124)&lt;1000000,10000,100000)</f>
        <v>0</v>
      </c>
      <c r="C138" s="33">
        <v>0</v>
      </c>
      <c r="D138" s="33">
        <f>B138-C138</f>
        <v>0</v>
      </c>
      <c r="E138" s="50" t="str">
        <f>IF(ABS(D138)&lt;0.000001,"OK","CHECK")</f>
        <v>OK</v>
      </c>
    </row>
    <row r="139" spans="1:5">
      <c r="A139" t="s">
        <v>414</v>
      </c>
      <c r="B139" s="43">
        <f>Construction!$B$6</f>
        <v>18</v>
      </c>
      <c r="C139" s="43">
        <v>18</v>
      </c>
      <c r="D139" s="43">
        <f>B139-C139</f>
        <v>0</v>
      </c>
      <c r="E139" s="50" t="str">
        <f>IF(ABS(D139)&lt;0.000001,"OK","CHECK")</f>
        <v>OK</v>
      </c>
    </row>
    <row r="140" spans="1:5">
      <c r="A140" t="s">
        <v>415</v>
      </c>
      <c r="B140" s="43">
        <f>Construction!$C$6</f>
        <v>8</v>
      </c>
      <c r="C140" s="43">
        <v>8</v>
      </c>
      <c r="D140" s="43">
        <f>B140-C140</f>
        <v>0</v>
      </c>
      <c r="E140" s="50" t="str">
        <f>IF(ABS(D140)&lt;0.000001,"OK","CHECK")</f>
        <v>OK</v>
      </c>
    </row>
    <row r="141" spans="1:5">
      <c r="A141" t="s">
        <v>416</v>
      </c>
      <c r="B141" s="33">
        <f>Construction!$D$6</f>
        <v>9000000</v>
      </c>
      <c r="C141" s="33">
        <v>9000000</v>
      </c>
      <c r="D141" s="33">
        <f>B141-C141</f>
        <v>0</v>
      </c>
      <c r="E141" s="50" t="str">
        <f>IF(ABS(D141)&lt;0.000001,"OK","CHECK")</f>
        <v>OK</v>
      </c>
    </row>
    <row r="142" spans="1:5">
      <c r="A142" t="s">
        <v>417</v>
      </c>
      <c r="B142" s="33">
        <f>Construction!$E$6</f>
        <v>7500000</v>
      </c>
      <c r="C142" s="33">
        <v>7500000</v>
      </c>
      <c r="D142" s="33">
        <f>B142-C142</f>
        <v>0</v>
      </c>
      <c r="E142" s="50" t="str">
        <f>IF(ABS(D142)&lt;0.000001,"OK","CHECK")</f>
        <v>OK</v>
      </c>
    </row>
    <row r="143" spans="1:5">
      <c r="A143" t="s">
        <v>418</v>
      </c>
      <c r="B143" s="33">
        <f>Construction!$F$6</f>
        <v>16500000</v>
      </c>
      <c r="C143" s="33">
        <v>16500000</v>
      </c>
      <c r="D143" s="33">
        <f>B143-C143</f>
        <v>0</v>
      </c>
      <c r="E143" s="50" t="str">
        <f>IF(ABS(D143)&lt;0.000001,"OK","CHECK")</f>
        <v>OK</v>
      </c>
    </row>
    <row r="144" spans="1:5">
      <c r="A144" t="s">
        <v>419</v>
      </c>
      <c r="B144" s="33">
        <f>Construction!$I$6</f>
        <v>110200000</v>
      </c>
      <c r="C144" s="33">
        <v>110200000</v>
      </c>
      <c r="D144" s="33">
        <f>B144-C144</f>
        <v>0</v>
      </c>
      <c r="E144" s="50" t="str">
        <f>IF(ABS(D144)&lt;0.000001,"OK","CHECK")</f>
        <v>OK</v>
      </c>
    </row>
    <row r="145" spans="1:5">
      <c r="A145" t="s">
        <v>420</v>
      </c>
      <c r="B145" s="35">
        <f>Construction!$L$6</f>
        <v>6.7</v>
      </c>
      <c r="C145" s="35">
        <v>6.7</v>
      </c>
      <c r="D145" s="35">
        <f>B145-C145</f>
        <v>0.0</v>
      </c>
      <c r="E145" s="50" t="str">
        <f>IF(ABS(D145)&lt;0.000001,"OK","CHECK")</f>
        <v>OK</v>
      </c>
    </row>
    <row r="146" spans="1:5">
      <c r="A146" t="s">
        <v>421</v>
      </c>
      <c r="B146" s="33">
        <f>Construction!$J$6</f>
        <v>61700000</v>
      </c>
      <c r="C146" s="33">
        <v>61700000</v>
      </c>
      <c r="D146" s="33">
        <f>B146-C146</f>
        <v>0</v>
      </c>
      <c r="E146" s="50" t="str">
        <f>IF(ABS(D146)&lt;0.000001,"OK","CHECK")</f>
        <v>OK</v>
      </c>
    </row>
    <row r="147" spans="1:5">
      <c r="A147" t="s">
        <v>422</v>
      </c>
      <c r="B147" s="35">
        <f>Construction!$M$6</f>
        <v>3.7</v>
      </c>
      <c r="C147" s="35">
        <v>3.7</v>
      </c>
      <c r="D147" s="35">
        <f>B147-C147</f>
        <v>0.0</v>
      </c>
      <c r="E147" s="50" t="str">
        <f>IF(ABS(D147)&lt;0.000001,"OK","CHECK")</f>
        <v>OK</v>
      </c>
    </row>
    <row r="148" spans="1:5">
      <c r="A148" t="s">
        <v>423</v>
      </c>
      <c r="B148" s="33">
        <f>Construction!$K$6</f>
        <v>40300000</v>
      </c>
      <c r="C148" s="33">
        <v>40300000</v>
      </c>
      <c r="D148" s="33">
        <f>B148-C148</f>
        <v>0</v>
      </c>
      <c r="E148" s="50" t="str">
        <f>IF(ABS(D148)&lt;0.000001,"OK","CHECK")</f>
        <v>OK</v>
      </c>
    </row>
    <row r="149" spans="1:5">
      <c r="A149" t="s">
        <v>424</v>
      </c>
      <c r="B149" s="35">
        <f>Construction!$N$6</f>
        <v>2.4</v>
      </c>
      <c r="C149" s="35">
        <v>2.4</v>
      </c>
      <c r="D149" s="35">
        <f>B149-C149</f>
        <v>0.0</v>
      </c>
      <c r="E149" s="50" t="str">
        <f>IF(ABS(D149)&lt;0.000001,"OK","CHECK")</f>
        <v>OK</v>
      </c>
    </row>
    <row r="150" spans="1:5">
      <c r="A150" t="s">
        <v>425</v>
      </c>
      <c r="B150" s="43">
        <f>Construction!$B$7</f>
        <v>8</v>
      </c>
      <c r="C150" s="43">
        <v>8</v>
      </c>
      <c r="D150" s="43">
        <f>B150-C150</f>
        <v>0</v>
      </c>
      <c r="E150" s="50" t="str">
        <f>IF(ABS(D150)&lt;0.000001,"OK","CHECK")</f>
        <v>OK</v>
      </c>
    </row>
    <row r="151" spans="1:5">
      <c r="A151" t="s">
        <v>426</v>
      </c>
      <c r="B151" s="43">
        <f>Construction!$C$7</f>
        <v>6</v>
      </c>
      <c r="C151" s="43">
        <v>6</v>
      </c>
      <c r="D151" s="43">
        <f>B151-C151</f>
        <v>0</v>
      </c>
      <c r="E151" s="50" t="str">
        <f>IF(ABS(D151)&lt;0.000001,"OK","CHECK")</f>
        <v>OK</v>
      </c>
    </row>
    <row r="152" spans="1:5">
      <c r="A152" t="s">
        <v>427</v>
      </c>
      <c r="B152" s="33">
        <f>Construction!$D$7</f>
        <v>24000000</v>
      </c>
      <c r="C152" s="33">
        <v>24000000</v>
      </c>
      <c r="D152" s="33">
        <f>B152-C152</f>
        <v>0</v>
      </c>
      <c r="E152" s="50" t="str">
        <f>IF(ABS(D152)&lt;0.000001,"OK","CHECK")</f>
        <v>OK</v>
      </c>
    </row>
    <row r="153" spans="1:5">
      <c r="A153" t="s">
        <v>428</v>
      </c>
      <c r="B153" s="33">
        <f>Construction!$E$7</f>
        <v>10400000</v>
      </c>
      <c r="C153" s="33">
        <v>10400000</v>
      </c>
      <c r="D153" s="33">
        <f>B153-C153</f>
        <v>0</v>
      </c>
      <c r="E153" s="50" t="str">
        <f>IF(ABS(D153)&lt;0.000001,"OK","CHECK")</f>
        <v>OK</v>
      </c>
    </row>
    <row r="154" spans="1:5">
      <c r="A154" t="s">
        <v>429</v>
      </c>
      <c r="B154" s="33">
        <f>Construction!$F$7</f>
        <v>34400000</v>
      </c>
      <c r="C154" s="33">
        <v>34400000</v>
      </c>
      <c r="D154" s="33">
        <f>B154-C154</f>
        <v>0</v>
      </c>
      <c r="E154" s="50" t="str">
        <f>IF(ABS(D154)&lt;0.000001,"OK","CHECK")</f>
        <v>OK</v>
      </c>
    </row>
    <row r="155" spans="1:5">
      <c r="A155" t="s">
        <v>430</v>
      </c>
      <c r="B155" s="33">
        <f>Construction!$I$7</f>
        <v>112000000</v>
      </c>
      <c r="C155" s="33">
        <v>112000000</v>
      </c>
      <c r="D155" s="33">
        <f>B155-C155</f>
        <v>0</v>
      </c>
      <c r="E155" s="50" t="str">
        <f>IF(ABS(D155)&lt;0.000001,"OK","CHECK")</f>
        <v>OK</v>
      </c>
    </row>
    <row r="156" spans="1:5">
      <c r="A156" t="s">
        <v>431</v>
      </c>
      <c r="B156" s="35">
        <f>Construction!$L$7</f>
        <v>3.3</v>
      </c>
      <c r="C156" s="35">
        <v>3.3</v>
      </c>
      <c r="D156" s="35">
        <f>B156-C156</f>
        <v>0.0</v>
      </c>
      <c r="E156" s="50" t="str">
        <f>IF(ABS(D156)&lt;0.000001,"OK","CHECK")</f>
        <v>OK</v>
      </c>
    </row>
    <row r="157" spans="1:5">
      <c r="A157" t="s">
        <v>432</v>
      </c>
      <c r="B157" s="33">
        <f>Construction!$J$7</f>
        <v>76000000</v>
      </c>
      <c r="C157" s="33">
        <v>76000000</v>
      </c>
      <c r="D157" s="33">
        <f>B157-C157</f>
        <v>0</v>
      </c>
      <c r="E157" s="50" t="str">
        <f>IF(ABS(D157)&lt;0.000001,"OK","CHECK")</f>
        <v>OK</v>
      </c>
    </row>
    <row r="158" spans="1:5">
      <c r="A158" t="s">
        <v>433</v>
      </c>
      <c r="B158" s="35">
        <f>Construction!$M$7</f>
        <v>2.2</v>
      </c>
      <c r="C158" s="35">
        <v>2.2</v>
      </c>
      <c r="D158" s="35">
        <f>B158-C158</f>
        <v>0.0</v>
      </c>
      <c r="E158" s="50" t="str">
        <f>IF(ABS(D158)&lt;0.000001,"OK","CHECK")</f>
        <v>OK</v>
      </c>
    </row>
    <row r="159" spans="1:5">
      <c r="A159" t="s">
        <v>434</v>
      </c>
      <c r="B159" s="33">
        <f>Construction!$K$7</f>
        <v>46900000</v>
      </c>
      <c r="C159" s="33">
        <v>46900000</v>
      </c>
      <c r="D159" s="33">
        <f>B159-C159</f>
        <v>0</v>
      </c>
      <c r="E159" s="50" t="str">
        <f>IF(ABS(D159)&lt;0.000001,"OK","CHECK")</f>
        <v>OK</v>
      </c>
    </row>
    <row r="160" spans="1:5">
      <c r="A160" t="s">
        <v>435</v>
      </c>
      <c r="B160" s="35">
        <f>Construction!$N$7</f>
        <v>1.4</v>
      </c>
      <c r="C160" s="35">
        <v>1.4</v>
      </c>
      <c r="D160" s="35">
        <f>B160-C160</f>
        <v>0.0</v>
      </c>
      <c r="E160" s="50" t="str">
        <f>IF(ABS(D160)&lt;0.000001,"OK","CHECK")</f>
        <v>OK</v>
      </c>
    </row>
    <row r="161" spans="1:5">
      <c r="A161" t="s">
        <v>436</v>
      </c>
      <c r="B161" s="43">
        <f>Construction!$B$8</f>
        <v>3</v>
      </c>
      <c r="C161" s="43">
        <v>3</v>
      </c>
      <c r="D161" s="43">
        <f>B161-C161</f>
        <v>0</v>
      </c>
      <c r="E161" s="50" t="str">
        <f>IF(ABS(D161)&lt;0.000001,"OK","CHECK")</f>
        <v>OK</v>
      </c>
    </row>
    <row r="162" spans="1:5">
      <c r="A162" t="s">
        <v>437</v>
      </c>
      <c r="B162" s="43">
        <f>Construction!$C$8</f>
        <v>6</v>
      </c>
      <c r="C162" s="43">
        <v>6</v>
      </c>
      <c r="D162" s="43">
        <f>B162-C162</f>
        <v>0</v>
      </c>
      <c r="E162" s="50" t="str">
        <f>IF(ABS(D162)&lt;0.000001,"OK","CHECK")</f>
        <v>OK</v>
      </c>
    </row>
    <row r="163" spans="1:5">
      <c r="A163" t="s">
        <v>438</v>
      </c>
      <c r="B163" s="33">
        <f>Construction!$D$8</f>
        <v>33000000</v>
      </c>
      <c r="C163" s="33">
        <v>33000000</v>
      </c>
      <c r="D163" s="33">
        <f>B163-C163</f>
        <v>0</v>
      </c>
      <c r="E163" s="50" t="str">
        <f>IF(ABS(D163)&lt;0.000001,"OK","CHECK")</f>
        <v>OK</v>
      </c>
    </row>
    <row r="164" spans="1:5">
      <c r="A164" t="s">
        <v>439</v>
      </c>
      <c r="B164" s="33">
        <f>Construction!$E$8</f>
        <v>0</v>
      </c>
      <c r="C164" s="33">
        <v>0</v>
      </c>
      <c r="D164" s="33">
        <f>B164-C164</f>
        <v>0</v>
      </c>
      <c r="E164" s="50" t="str">
        <f>IF(ABS(D164)&lt;0.000001,"OK","CHECK")</f>
        <v>OK</v>
      </c>
    </row>
    <row r="165" spans="1:5">
      <c r="A165" t="s">
        <v>440</v>
      </c>
      <c r="B165" s="33">
        <f>Construction!$F$8</f>
        <v>33000000</v>
      </c>
      <c r="C165" s="33">
        <v>33000000</v>
      </c>
      <c r="D165" s="33">
        <f>B165-C165</f>
        <v>0</v>
      </c>
      <c r="E165" s="50" t="str">
        <f>IF(ABS(D165)&lt;0.000001,"OK","CHECK")</f>
        <v>OK</v>
      </c>
    </row>
    <row r="166" spans="1:5">
      <c r="A166" t="s">
        <v>441</v>
      </c>
      <c r="B166" s="33">
        <f>Construction!$I$8</f>
        <v>102100000</v>
      </c>
      <c r="C166" s="33">
        <v>102100000</v>
      </c>
      <c r="D166" s="33">
        <f>B166-C166</f>
        <v>0</v>
      </c>
      <c r="E166" s="50" t="str">
        <f>IF(ABS(D166)&lt;0.000001,"OK","CHECK")</f>
        <v>OK</v>
      </c>
    </row>
    <row r="167" spans="1:5">
      <c r="A167" t="s">
        <v>442</v>
      </c>
      <c r="B167" s="35">
        <f>Construction!$L$8</f>
        <v>3.1</v>
      </c>
      <c r="C167" s="35">
        <v>3.1</v>
      </c>
      <c r="D167" s="35">
        <f>B167-C167</f>
        <v>0.0</v>
      </c>
      <c r="E167" s="50" t="str">
        <f>IF(ABS(D167)&lt;0.000001,"OK","CHECK")</f>
        <v>OK</v>
      </c>
    </row>
    <row r="168" spans="1:5">
      <c r="A168" t="s">
        <v>443</v>
      </c>
      <c r="B168" s="33">
        <f>Construction!$J$8</f>
        <v>53000000</v>
      </c>
      <c r="C168" s="33">
        <v>53000000</v>
      </c>
      <c r="D168" s="33">
        <f>B168-C168</f>
        <v>0</v>
      </c>
      <c r="E168" s="50" t="str">
        <f>IF(ABS(D168)&lt;0.000001,"OK","CHECK")</f>
        <v>OK</v>
      </c>
    </row>
    <row r="169" spans="1:5">
      <c r="A169" t="s">
        <v>444</v>
      </c>
      <c r="B169" s="35">
        <f>Construction!$M$8</f>
        <v>1.6</v>
      </c>
      <c r="C169" s="35">
        <v>1.6</v>
      </c>
      <c r="D169" s="35">
        <f>B169-C169</f>
        <v>0.0</v>
      </c>
      <c r="E169" s="50" t="str">
        <f>IF(ABS(D169)&lt;0.000001,"OK","CHECK")</f>
        <v>OK</v>
      </c>
    </row>
    <row r="170" spans="1:5">
      <c r="A170" t="s">
        <v>445</v>
      </c>
      <c r="B170" s="33">
        <f>Construction!$K$8</f>
        <v>28600000</v>
      </c>
      <c r="C170" s="33">
        <v>28600000</v>
      </c>
      <c r="D170" s="33">
        <f>B170-C170</f>
        <v>0</v>
      </c>
      <c r="E170" s="50" t="str">
        <f>IF(ABS(D170)&lt;0.000001,"OK","CHECK")</f>
        <v>OK</v>
      </c>
    </row>
    <row r="171" spans="1:5">
      <c r="A171" t="s">
        <v>446</v>
      </c>
      <c r="B171" s="35">
        <f>Construction!$N$8</f>
        <v>0.9</v>
      </c>
      <c r="C171" s="35">
        <v>0.9</v>
      </c>
      <c r="D171" s="35">
        <f>B171-C171</f>
        <v>0.0</v>
      </c>
      <c r="E171" s="50" t="str">
        <f>IF(ABS(D171)&lt;0.000001,"OK","CHECK")</f>
        <v>OK</v>
      </c>
    </row>
    <row r="172" spans="1:5">
      <c r="A172" t="s">
        <v>447</v>
      </c>
      <c r="B172" s="33">
        <f>Construction!$G$8</f>
        <v>17000000</v>
      </c>
      <c r="C172" s="33">
        <v>17000000</v>
      </c>
      <c r="D172" s="33">
        <f>B172-C172</f>
        <v>0</v>
      </c>
      <c r="E172" s="50" t="str">
        <f>IF(ABS(D172)&lt;0.000001,"OK","CHECK")</f>
        <v>OK</v>
      </c>
    </row>
    <row r="173" spans="1:5">
      <c r="A173" t="s">
        <v>448</v>
      </c>
      <c r="B173" s="72">
        <f>Construction!$H$8</f>
        <v>0.48</v>
      </c>
      <c r="C173" s="72">
        <v>0.48</v>
      </c>
      <c r="D173" s="72">
        <f>B173-C173</f>
        <v>0.0</v>
      </c>
      <c r="E173" s="50" t="str">
        <f>IF(ABS(D173)&lt;0.000001,"OK","CHECK")</f>
        <v>OK</v>
      </c>
    </row>
    <row r="174" spans="1:5">
      <c r="A174" t="s">
        <v>449</v>
      </c>
      <c r="B174" s="33">
        <f>Construction!$B$13</f>
        <v>16500000</v>
      </c>
      <c r="C174" s="33">
        <v>16500000</v>
      </c>
      <c r="D174" s="33">
        <f>B174-C174</f>
        <v>0</v>
      </c>
      <c r="E174" s="50" t="str">
        <f>IF(ABS(D174)&lt;0.000001,"OK","CHECK")</f>
        <v>OK</v>
      </c>
    </row>
    <row r="175" spans="1:5">
      <c r="A175" t="s">
        <v>450</v>
      </c>
      <c r="B175" s="33">
        <f>Construction!$B$14</f>
        <v>34400000</v>
      </c>
      <c r="C175" s="33">
        <v>34400000</v>
      </c>
      <c r="D175" s="33">
        <f>B175-C175</f>
        <v>0</v>
      </c>
      <c r="E175" s="50" t="str">
        <f>IF(ABS(D175)&lt;0.000001,"OK","CHECK")</f>
        <v>OK</v>
      </c>
    </row>
    <row r="176" spans="1:5">
      <c r="A176" t="s">
        <v>451</v>
      </c>
      <c r="B176" s="33">
        <f>Construction!$B$15</f>
        <v>33000000</v>
      </c>
      <c r="C176" s="33">
        <v>33000000</v>
      </c>
      <c r="D176" s="33">
        <f>B176-C176</f>
        <v>0</v>
      </c>
      <c r="E176" s="50" t="str">
        <f>IF(ABS(D176)&lt;0.000001,"OK","CHECK")</f>
        <v>OK</v>
      </c>
    </row>
    <row r="177" spans="1:5">
      <c r="A177" t="s">
        <v>452</v>
      </c>
      <c r="B177" s="33">
        <f>Construction!$B$16</f>
        <v>83900000</v>
      </c>
      <c r="C177" s="33">
        <v>83900000</v>
      </c>
      <c r="D177" s="33">
        <f>B177-C177</f>
        <v>0</v>
      </c>
      <c r="E177" s="50" t="str">
        <f>IF(ABS(D177)&lt;0.000001,"OK","CHECK")</f>
        <v>OK</v>
      </c>
    </row>
    <row r="178" spans="1:5">
      <c r="A178" t="s">
        <v>453</v>
      </c>
      <c r="B178" s="33">
        <f>Construction!$B$17</f>
        <v>49000000</v>
      </c>
      <c r="C178" s="33">
        <v>49000000</v>
      </c>
      <c r="D178" s="33">
        <f>B178-C178</f>
        <v>0</v>
      </c>
      <c r="E178" s="50" t="str">
        <f>IF(ABS(D178)&lt;0.000001,"OK","CHECK")</f>
        <v>OK</v>
      </c>
    </row>
    <row r="179" spans="1:5">
      <c r="A179" t="s">
        <v>454</v>
      </c>
      <c r="B179" s="33">
        <f>Construction!$B$18</f>
        <v>34900000</v>
      </c>
      <c r="C179" s="33">
        <v>34900000</v>
      </c>
      <c r="D179" s="33">
        <f>B179-C179</f>
        <v>0</v>
      </c>
      <c r="E179" s="50" t="str">
        <f>IF(ABS(D179)&lt;0.000001,"OK","CHECK")</f>
        <v>OK</v>
      </c>
    </row>
    <row r="180" spans="1:5">
      <c r="A180" t="s">
        <v>455</v>
      </c>
      <c r="B180" s="72">
        <f>Construction!$B$19</f>
        <v>0.42</v>
      </c>
      <c r="C180" s="72">
        <v>0.42</v>
      </c>
      <c r="D180" s="72">
        <f>B180-C180</f>
        <v>0.0</v>
      </c>
      <c r="E180" s="50" t="str">
        <f>IF(ABS(D180)&lt;0.000001,"OK","CHECK")</f>
        <v>OK</v>
      </c>
    </row>
    <row r="181" spans="1:5">
      <c r="A181" t="s">
        <v>456</v>
      </c>
      <c r="B181" s="33">
        <f>Construction!$B$20</f>
        <v>12100000</v>
      </c>
      <c r="C181" s="33">
        <v>12100000</v>
      </c>
      <c r="D181" s="33">
        <f>B181-C181</f>
        <v>0</v>
      </c>
      <c r="E181" s="50" t="str">
        <f>IF(ABS(D181)&lt;0.000001,"OK","CHECK")</f>
        <v>OK</v>
      </c>
    </row>
    <row r="182" spans="1:5">
      <c r="A182" t="s">
        <v>457</v>
      </c>
      <c r="B182" s="33">
        <f>Construction!$B$21</f>
        <v>3900000</v>
      </c>
      <c r="C182" s="33">
        <v>3900000</v>
      </c>
      <c r="D182" s="33">
        <f>B182-C182</f>
        <v>0</v>
      </c>
      <c r="E182" s="50" t="str">
        <f>IF(ABS(D182)&lt;0.000001,"OK","CHECK")</f>
        <v>OK</v>
      </c>
    </row>
    <row r="183" spans="1:5">
      <c r="A183" t="s">
        <v>458</v>
      </c>
      <c r="B183" s="33">
        <f>Construction!$B$22</f>
        <v>100000</v>
      </c>
      <c r="C183" s="33">
        <v>100000</v>
      </c>
      <c r="D183" s="33">
        <f>B183-C183</f>
        <v>0</v>
      </c>
      <c r="E183" s="50" t="str">
        <f>IF(ABS(D183)&lt;0.000001,"OK","CHECK")</f>
        <v>OK</v>
      </c>
    </row>
    <row r="184" spans="1:5">
      <c r="A184" t="s">
        <v>459</v>
      </c>
      <c r="B184" s="33">
        <f>Construction!$B$23</f>
        <v>100000000</v>
      </c>
      <c r="C184" s="33">
        <v>100000000</v>
      </c>
      <c r="D184" s="33">
        <f>B184-C184</f>
        <v>0</v>
      </c>
      <c r="E184" s="50" t="str">
        <f>IF(ABS(D184)&lt;0.000001,"OK","CHECK")</f>
        <v>OK</v>
      </c>
    </row>
    <row r="185" spans="1:5">
      <c r="A185" t="s">
        <v>460</v>
      </c>
      <c r="B185" s="72">
        <f>Lines!$R$6</f>
        <v>0.125</v>
      </c>
      <c r="C185" s="72">
        <v>0.125</v>
      </c>
      <c r="D185" s="72">
        <f>B185-C185</f>
        <v>0.0</v>
      </c>
      <c r="E185" s="50" t="str">
        <f>IF(ABS(D185)&lt;0.000001,"OK","CHECK")</f>
        <v>OK</v>
      </c>
    </row>
    <row r="186" spans="1:5">
      <c r="A186" t="s">
        <v>461</v>
      </c>
      <c r="B186" s="33">
        <f>Lines!$S$6</f>
        <v>67500000</v>
      </c>
      <c r="C186" s="33">
        <v>67500000</v>
      </c>
      <c r="D186" s="33">
        <f>B186-C186</f>
        <v>0</v>
      </c>
      <c r="E186" s="50" t="str">
        <f>IF(ABS(D186)&lt;0.000001,"OK","CHECK")</f>
        <v>OK</v>
      </c>
    </row>
    <row r="187" spans="1:5">
      <c r="A187" t="s">
        <v>462</v>
      </c>
      <c r="B187" s="35">
        <f>Lines!$V$6</f>
        <v>22.5</v>
      </c>
      <c r="C187" s="35">
        <v>22.5</v>
      </c>
      <c r="D187" s="35">
        <f>B187-C187</f>
        <v>0.0</v>
      </c>
      <c r="E187" s="50" t="str">
        <f>IF(ABS(D187)&lt;0.000001,"OK","CHECK")</f>
        <v>OK</v>
      </c>
    </row>
    <row r="188" spans="1:5">
      <c r="A188" t="s">
        <v>463</v>
      </c>
      <c r="B188" s="72">
        <f>Lines!$R$7</f>
        <v>0.094</v>
      </c>
      <c r="C188" s="72">
        <v>0.094</v>
      </c>
      <c r="D188" s="72">
        <f>B188-C188</f>
        <v>0.0</v>
      </c>
      <c r="E188" s="50" t="str">
        <f>IF(ABS(D188)&lt;0.000001,"OK","CHECK")</f>
        <v>OK</v>
      </c>
    </row>
    <row r="189" spans="1:5">
      <c r="A189" t="s">
        <v>464</v>
      </c>
      <c r="B189" s="33">
        <f>Lines!$S$7</f>
        <v>21000000</v>
      </c>
      <c r="C189" s="33">
        <v>21000000</v>
      </c>
      <c r="D189" s="33">
        <f>B189-C189</f>
        <v>0</v>
      </c>
      <c r="E189" s="50" t="str">
        <f>IF(ABS(D189)&lt;0.000001,"OK","CHECK")</f>
        <v>OK</v>
      </c>
    </row>
    <row r="190" spans="1:5">
      <c r="A190" t="s">
        <v>465</v>
      </c>
      <c r="B190" s="35">
        <f>Lines!$V$7</f>
        <v>9.3</v>
      </c>
      <c r="C190" s="35">
        <v>9.300000000000001</v>
      </c>
      <c r="D190" s="35">
        <f>B190-C190</f>
        <v>0.0</v>
      </c>
      <c r="E190" s="50" t="str">
        <f>IF(ABS(D190)&lt;0.000001,"OK","CHECK")</f>
        <v>OK</v>
      </c>
    </row>
    <row r="191" spans="1:5">
      <c r="A191" t="s">
        <v>466</v>
      </c>
      <c r="B191" s="72">
        <f>Lines!$R$8</f>
        <v>0.075</v>
      </c>
      <c r="C191" s="72">
        <v>0.075</v>
      </c>
      <c r="D191" s="72">
        <f>B191-C191</f>
        <v>0.0</v>
      </c>
      <c r="E191" s="50" t="str">
        <f>IF(ABS(D191)&lt;0.000001,"OK","CHECK")</f>
        <v>OK</v>
      </c>
    </row>
    <row r="192" spans="1:5">
      <c r="A192" t="s">
        <v>467</v>
      </c>
      <c r="B192" s="33">
        <f>Lines!$S$8</f>
        <v>9000000</v>
      </c>
      <c r="C192" s="33">
        <v>9000000</v>
      </c>
      <c r="D192" s="33">
        <f>B192-C192</f>
        <v>0</v>
      </c>
      <c r="E192" s="50" t="str">
        <f>IF(ABS(D192)&lt;0.000001,"OK","CHECK")</f>
        <v>OK</v>
      </c>
    </row>
    <row r="193" spans="1:5">
      <c r="A193" t="s">
        <v>468</v>
      </c>
      <c r="B193" s="35">
        <f>Lines!$V$8</f>
        <v>5.1</v>
      </c>
      <c r="C193" s="35">
        <v>5.1</v>
      </c>
      <c r="D193" s="35">
        <f>B193-C193</f>
        <v>0.0</v>
      </c>
      <c r="E193" s="50" t="str">
        <f>IF(ABS(D193)&lt;0.000001,"OK","CHECK")</f>
        <v>OK</v>
      </c>
    </row>
    <row r="194" spans="1:5">
      <c r="A194" t="s">
        <v>469</v>
      </c>
      <c r="B194" s="72">
        <f>Lines!$R$9</f>
        <v>0.063</v>
      </c>
      <c r="C194" s="72">
        <v>0.063</v>
      </c>
      <c r="D194" s="72">
        <f>B194-C194</f>
        <v>0.0</v>
      </c>
      <c r="E194" s="50" t="str">
        <f>IF(ABS(D194)&lt;0.000001,"OK","CHECK")</f>
        <v>OK</v>
      </c>
    </row>
    <row r="195" spans="1:5">
      <c r="A195" t="s">
        <v>470</v>
      </c>
      <c r="B195" s="33">
        <f>Lines!$S$9</f>
        <v>7500000</v>
      </c>
      <c r="C195" s="33">
        <v>7500000</v>
      </c>
      <c r="D195" s="33">
        <f>B195-C195</f>
        <v>0</v>
      </c>
      <c r="E195" s="50" t="str">
        <f>IF(ABS(D195)&lt;0.000001,"OK","CHECK")</f>
        <v>OK</v>
      </c>
    </row>
    <row r="196" spans="1:5">
      <c r="A196" t="s">
        <v>471</v>
      </c>
      <c r="B196" s="35">
        <f>Lines!$V$9</f>
        <v>7.5</v>
      </c>
      <c r="C196" s="35">
        <v>7.5</v>
      </c>
      <c r="D196" s="35">
        <f>B196-C196</f>
        <v>0.0</v>
      </c>
      <c r="E196" s="50" t="str">
        <f>IF(ABS(D196)&lt;0.000001,"OK","CHECK")</f>
        <v>OK</v>
      </c>
    </row>
    <row r="197" spans="1:5">
      <c r="A197" t="s">
        <v>472</v>
      </c>
      <c r="B197" s="72">
        <f>Lines!$R$10</f>
        <v>0.063</v>
      </c>
      <c r="C197" s="72">
        <v>0.063</v>
      </c>
      <c r="D197" s="72">
        <f>B197-C197</f>
        <v>0.0</v>
      </c>
      <c r="E197" s="50" t="str">
        <f>IF(ABS(D197)&lt;0.000001,"OK","CHECK")</f>
        <v>OK</v>
      </c>
    </row>
    <row r="198" spans="1:5">
      <c r="A198" t="s">
        <v>473</v>
      </c>
      <c r="B198" s="33">
        <f>Lines!$S$10</f>
        <v>2700000</v>
      </c>
      <c r="C198" s="33">
        <v>2700000</v>
      </c>
      <c r="D198" s="33">
        <f>B198-C198</f>
        <v>0</v>
      </c>
      <c r="E198" s="50" t="str">
        <f>IF(ABS(D198)&lt;0.000001,"OK","CHECK")</f>
        <v>OK</v>
      </c>
    </row>
    <row r="199" spans="1:5">
      <c r="A199" t="s">
        <v>474</v>
      </c>
      <c r="B199" s="35">
        <f>Lines!$V$10</f>
        <v>2.7</v>
      </c>
      <c r="C199" s="35">
        <v>2.7</v>
      </c>
      <c r="D199" s="35">
        <f>B199-C199</f>
        <v>0.0</v>
      </c>
      <c r="E199" s="50" t="str">
        <f>IF(ABS(D199)&lt;0.000001,"OK","CHECK")</f>
        <v>OK</v>
      </c>
    </row>
    <row r="200" spans="1:5">
      <c r="A200" t="s">
        <v>475</v>
      </c>
      <c r="B200" s="72">
        <f>Lines!$R$11</f>
        <v>0.05</v>
      </c>
      <c r="C200" s="72">
        <v>0.05</v>
      </c>
      <c r="D200" s="72">
        <f>B200-C200</f>
        <v>0.0</v>
      </c>
      <c r="E200" s="50" t="str">
        <f>IF(ABS(D200)&lt;0.000001,"OK","CHECK")</f>
        <v>OK</v>
      </c>
    </row>
    <row r="201" spans="1:5">
      <c r="A201" t="s">
        <v>476</v>
      </c>
      <c r="B201" s="33">
        <f>Lines!$S$11</f>
        <v>1600000</v>
      </c>
      <c r="C201" s="33">
        <v>1600000</v>
      </c>
      <c r="D201" s="33">
        <f>B201-C201</f>
        <v>0</v>
      </c>
      <c r="E201" s="50" t="str">
        <f>IF(ABS(D201)&lt;0.000001,"OK","CHECK")</f>
        <v>OK</v>
      </c>
    </row>
    <row r="202" spans="1:5">
      <c r="A202" t="s">
        <v>477</v>
      </c>
      <c r="B202" s="35">
        <f>Lines!$V$11</f>
        <v>5.3</v>
      </c>
      <c r="C202" s="35">
        <v>5.3</v>
      </c>
      <c r="D202" s="35">
        <f>B202-C202</f>
        <v>0.0</v>
      </c>
      <c r="E202" s="50" t="str">
        <f>IF(ABS(D202)&lt;0.000001,"OK","CHECK")</f>
        <v>OK</v>
      </c>
    </row>
    <row r="203" spans="1:5">
      <c r="A203" t="s">
        <v>478</v>
      </c>
      <c r="B203" s="72">
        <f>Lines!$R$12</f>
        <v>0.05</v>
      </c>
      <c r="C203" s="72">
        <v>0.05</v>
      </c>
      <c r="D203" s="72">
        <f>B203-C203</f>
        <v>0.0</v>
      </c>
      <c r="E203" s="50" t="str">
        <f>IF(ABS(D203)&lt;0.000001,"OK","CHECK")</f>
        <v>OK</v>
      </c>
    </row>
    <row r="204" spans="1:5">
      <c r="A204" t="s">
        <v>479</v>
      </c>
      <c r="B204" s="33">
        <f>Lines!$S$12</f>
        <v>900000</v>
      </c>
      <c r="C204" s="33">
        <v>900000</v>
      </c>
      <c r="D204" s="33">
        <f>B204-C204</f>
        <v>0</v>
      </c>
      <c r="E204" s="50" t="str">
        <f>IF(ABS(D204)&lt;0.000001,"OK","CHECK")</f>
        <v>OK</v>
      </c>
    </row>
    <row r="205" spans="1:5">
      <c r="A205" t="s">
        <v>480</v>
      </c>
      <c r="B205" s="35">
        <f>Lines!$V$12</f>
        <v>0.5</v>
      </c>
      <c r="C205" s="35">
        <v>0.5</v>
      </c>
      <c r="D205" s="35">
        <f>B205-C205</f>
        <v>0.0</v>
      </c>
      <c r="E205" s="50" t="str">
        <f>IF(ABS(D205)&lt;0.000001,"OK","CHECK")</f>
        <v>OK</v>
      </c>
    </row>
    <row r="206" spans="1:5">
      <c r="A206" t="s">
        <v>481</v>
      </c>
      <c r="B206" s="72">
        <f>Lines!$R$13</f>
        <v>0.056</v>
      </c>
      <c r="C206" s="72">
        <v>0.056</v>
      </c>
      <c r="D206" s="72">
        <f>B206-C206</f>
        <v>0.0</v>
      </c>
      <c r="E206" s="50" t="str">
        <f>IF(ABS(D206)&lt;0.000001,"OK","CHECK")</f>
        <v>OK</v>
      </c>
    </row>
    <row r="207" spans="1:5">
      <c r="A207" t="s">
        <v>482</v>
      </c>
      <c r="B207" s="33">
        <f>Lines!$S$13</f>
        <v>0</v>
      </c>
      <c r="C207" s="33">
        <v>0</v>
      </c>
      <c r="D207" s="33">
        <f>B207-C207</f>
        <v>0</v>
      </c>
      <c r="E207" s="50" t="str">
        <f>IF(ABS(D207)&lt;0.000001,"OK","CHECK")</f>
        <v>OK</v>
      </c>
    </row>
    <row r="208" spans="1:5">
      <c r="A208" t="s">
        <v>483</v>
      </c>
      <c r="B208" s="35">
        <f>Lines!$V$13</f>
        <v>0.0</v>
      </c>
      <c r="C208" s="35">
        <v>0</v>
      </c>
      <c r="D208" s="35">
        <f>B208-C208</f>
        <v>0.0</v>
      </c>
      <c r="E208" s="50" t="str">
        <f>IF(ABS(D208)&lt;0.000001,"OK","CHECK")</f>
        <v>OK</v>
      </c>
    </row>
    <row r="209" spans="1:5">
      <c r="A209" t="s">
        <v>484</v>
      </c>
      <c r="B209" s="72">
        <f>Lines!$R$15</f>
        <v>0.067</v>
      </c>
      <c r="C209" s="72">
        <v>0.067</v>
      </c>
      <c r="D209" s="72">
        <f>B209-C209</f>
        <v>0.0</v>
      </c>
      <c r="E209" s="50" t="str">
        <f>IF(ABS(D209)&lt;0.000001,"OK","CHECK")</f>
        <v>OK</v>
      </c>
    </row>
    <row r="210" spans="1:5">
      <c r="A210" t="s">
        <v>485</v>
      </c>
      <c r="B210" s="33">
        <f>Lines!$S$15</f>
        <v>54000000</v>
      </c>
      <c r="C210" s="33">
        <v>54000000</v>
      </c>
      <c r="D210" s="33">
        <f>B210-C210</f>
        <v>0</v>
      </c>
      <c r="E210" s="50" t="str">
        <f>IF(ABS(D210)&lt;0.000001,"OK","CHECK")</f>
        <v>OK</v>
      </c>
    </row>
    <row r="211" spans="1:5">
      <c r="A211" t="s">
        <v>486</v>
      </c>
      <c r="B211" s="35">
        <f>Lines!$V$15</f>
        <v>10.8</v>
      </c>
      <c r="C211" s="35">
        <v>10.8</v>
      </c>
      <c r="D211" s="35">
        <f>B211-C211</f>
        <v>0.0</v>
      </c>
      <c r="E211" s="50" t="str">
        <f>IF(ABS(D211)&lt;0.000001,"OK","CHECK")</f>
        <v>OK</v>
      </c>
    </row>
    <row r="212" spans="1:5">
      <c r="A212" t="s">
        <v>487</v>
      </c>
      <c r="B212" s="72">
        <f>Lines!$R$16</f>
        <v>0.067</v>
      </c>
      <c r="C212" s="72">
        <v>0.067</v>
      </c>
      <c r="D212" s="72">
        <f>B212-C212</f>
        <v>0.0</v>
      </c>
      <c r="E212" s="50" t="str">
        <f>IF(ABS(D212)&lt;0.000001,"OK","CHECK")</f>
        <v>OK</v>
      </c>
    </row>
    <row r="213" spans="1:5">
      <c r="A213" t="s">
        <v>488</v>
      </c>
      <c r="B213" s="33">
        <f>Lines!$S$16</f>
        <v>27000000</v>
      </c>
      <c r="C213" s="33">
        <v>27000000</v>
      </c>
      <c r="D213" s="33">
        <f>B213-C213</f>
        <v>0</v>
      </c>
      <c r="E213" s="50" t="str">
        <f>IF(ABS(D213)&lt;0.000001,"OK","CHECK")</f>
        <v>OK</v>
      </c>
    </row>
    <row r="214" spans="1:5">
      <c r="A214" t="s">
        <v>489</v>
      </c>
      <c r="B214" s="35">
        <f>Lines!$V$16</f>
        <v>5.4</v>
      </c>
      <c r="C214" s="35">
        <v>5.4</v>
      </c>
      <c r="D214" s="35">
        <f>B214-C214</f>
        <v>0.0</v>
      </c>
      <c r="E214" s="50" t="str">
        <f>IF(ABS(D214)&lt;0.000001,"OK","CHECK")</f>
        <v>OK</v>
      </c>
    </row>
    <row r="215" spans="1:5">
      <c r="A215" t="s">
        <v>490</v>
      </c>
      <c r="B215" s="72">
        <f>Lines!$R$17</f>
        <v>0.075</v>
      </c>
      <c r="C215" s="72">
        <v>0.075</v>
      </c>
      <c r="D215" s="72">
        <f>B215-C215</f>
        <v>0.0</v>
      </c>
      <c r="E215" s="50" t="str">
        <f>IF(ABS(D215)&lt;0.000001,"OK","CHECK")</f>
        <v>OK</v>
      </c>
    </row>
    <row r="216" spans="1:5">
      <c r="A216" t="s">
        <v>491</v>
      </c>
      <c r="B216" s="33">
        <f>Lines!$S$17</f>
        <v>18000000</v>
      </c>
      <c r="C216" s="33">
        <v>18000000</v>
      </c>
      <c r="D216" s="33">
        <f>B216-C216</f>
        <v>0</v>
      </c>
      <c r="E216" s="50" t="str">
        <f>IF(ABS(D216)&lt;0.000001,"OK","CHECK")</f>
        <v>OK</v>
      </c>
    </row>
    <row r="217" spans="1:5">
      <c r="A217" t="s">
        <v>492</v>
      </c>
      <c r="B217" s="35">
        <f>Lines!$V$17</f>
        <v>4.0</v>
      </c>
      <c r="C217" s="35">
        <v>4</v>
      </c>
      <c r="D217" s="35">
        <f>B217-C217</f>
        <v>0.0</v>
      </c>
      <c r="E217" s="50" t="str">
        <f>IF(ABS(D217)&lt;0.000001,"OK","CHECK")</f>
        <v>OK</v>
      </c>
    </row>
    <row r="218" spans="1:5">
      <c r="A218" t="s">
        <v>493</v>
      </c>
      <c r="B218" s="72">
        <f>Lines!$R$18</f>
        <v>0.067</v>
      </c>
      <c r="C218" s="72">
        <v>0.067</v>
      </c>
      <c r="D218" s="72">
        <f>B218-C218</f>
        <v>0.0</v>
      </c>
      <c r="E218" s="50" t="str">
        <f>IF(ABS(D218)&lt;0.000001,"OK","CHECK")</f>
        <v>OK</v>
      </c>
    </row>
    <row r="219" spans="1:5">
      <c r="A219" t="s">
        <v>494</v>
      </c>
      <c r="B219" s="33">
        <f>Lines!$S$18</f>
        <v>10000000</v>
      </c>
      <c r="C219" s="33">
        <v>10000000</v>
      </c>
      <c r="D219" s="33">
        <f>B219-C219</f>
        <v>0</v>
      </c>
      <c r="E219" s="50" t="str">
        <f>IF(ABS(D219)&lt;0.000001,"OK","CHECK")</f>
        <v>OK</v>
      </c>
    </row>
    <row r="220" spans="1:5">
      <c r="A220" t="s">
        <v>495</v>
      </c>
      <c r="B220" s="35">
        <f>Lines!$V$18</f>
        <v>2.5</v>
      </c>
      <c r="C220" s="35">
        <v>2.5</v>
      </c>
      <c r="D220" s="35">
        <f>B220-C220</f>
        <v>0.0</v>
      </c>
      <c r="E220" s="50" t="str">
        <f>IF(ABS(D220)&lt;0.000001,"OK","CHECK")</f>
        <v>OK</v>
      </c>
    </row>
    <row r="221" spans="1:5">
      <c r="A221" t="s">
        <v>496</v>
      </c>
      <c r="B221" s="72">
        <f>Lines!$R$19</f>
        <v>0.075</v>
      </c>
      <c r="C221" s="72">
        <v>0.075</v>
      </c>
      <c r="D221" s="72">
        <f>B221-C221</f>
        <v>0.0</v>
      </c>
      <c r="E221" s="50" t="str">
        <f>IF(ABS(D221)&lt;0.000001,"OK","CHECK")</f>
        <v>OK</v>
      </c>
    </row>
    <row r="222" spans="1:5">
      <c r="A222" t="s">
        <v>497</v>
      </c>
      <c r="B222" s="33">
        <f>Lines!$S$19</f>
        <v>3000000</v>
      </c>
      <c r="C222" s="33">
        <v>3000000</v>
      </c>
      <c r="D222" s="33">
        <f>B222-C222</f>
        <v>0</v>
      </c>
      <c r="E222" s="50" t="str">
        <f>IF(ABS(D222)&lt;0.000001,"OK","CHECK")</f>
        <v>OK</v>
      </c>
    </row>
    <row r="223" spans="1:5">
      <c r="A223" t="s">
        <v>498</v>
      </c>
      <c r="B223" s="35">
        <f>Lines!$V$19</f>
        <v>0.4</v>
      </c>
      <c r="C223" s="35">
        <v>0.4</v>
      </c>
      <c r="D223" s="35">
        <f>B223-C223</f>
        <v>0.0</v>
      </c>
      <c r="E223" s="50" t="str">
        <f>IF(ABS(D223)&lt;0.000001,"OK","CHECK")</f>
        <v>OK</v>
      </c>
    </row>
    <row r="224" spans="1:5">
      <c r="A224" t="s">
        <v>499</v>
      </c>
      <c r="B224" s="72">
        <f>Lines!$R$20</f>
        <v>0.075</v>
      </c>
      <c r="C224" s="72">
        <v>0.075</v>
      </c>
      <c r="D224" s="72">
        <f>B224-C224</f>
        <v>0.0</v>
      </c>
      <c r="E224" s="50" t="str">
        <f>IF(ABS(D224)&lt;0.000001,"OK","CHECK")</f>
        <v>OK</v>
      </c>
    </row>
    <row r="225" spans="1:5">
      <c r="A225" t="s">
        <v>500</v>
      </c>
      <c r="B225" s="33">
        <f>Lines!$S$20</f>
        <v>0</v>
      </c>
      <c r="C225" s="33">
        <v>0</v>
      </c>
      <c r="D225" s="33">
        <f>B225-C225</f>
        <v>0</v>
      </c>
      <c r="E225" s="50" t="str">
        <f>IF(ABS(D225)&lt;0.000001,"OK","CHECK")</f>
        <v>OK</v>
      </c>
    </row>
    <row r="226" spans="1:5">
      <c r="A226" t="s">
        <v>501</v>
      </c>
      <c r="B226" s="35">
        <f>Lines!$V$20</f>
        <v>0.0</v>
      </c>
      <c r="C226" s="35">
        <v>0</v>
      </c>
      <c r="D226" s="35">
        <f>B226-C226</f>
        <v>0.0</v>
      </c>
      <c r="E226" s="50" t="str">
        <f>IF(ABS(D226)&lt;0.000001,"OK","CHECK")</f>
        <v>OK</v>
      </c>
    </row>
    <row r="227" spans="1:5">
      <c r="A227" t="s">
        <v>502</v>
      </c>
      <c r="B227" s="72">
        <f>Lines!$R$22</f>
        <v>0.028</v>
      </c>
      <c r="C227" s="72">
        <v>0.028</v>
      </c>
      <c r="D227" s="72">
        <f>B227-C227</f>
        <v>0.0</v>
      </c>
      <c r="E227" s="50" t="str">
        <f>IF(ABS(D227)&lt;0.000001,"OK","CHECK")</f>
        <v>OK</v>
      </c>
    </row>
    <row r="228" spans="1:5">
      <c r="A228" t="s">
        <v>503</v>
      </c>
      <c r="B228" s="33">
        <f>Lines!$S$22</f>
        <v>33000000</v>
      </c>
      <c r="C228" s="33">
        <v>33000000</v>
      </c>
      <c r="D228" s="33">
        <f>B228-C228</f>
        <v>0</v>
      </c>
      <c r="E228" s="50" t="str">
        <f>IF(ABS(D228)&lt;0.000001,"OK","CHECK")</f>
        <v>OK</v>
      </c>
    </row>
    <row r="229" spans="1:5">
      <c r="A229" t="s">
        <v>504</v>
      </c>
      <c r="B229" s="35">
        <f>Lines!$V$22</f>
        <v>4.7</v>
      </c>
      <c r="C229" s="35">
        <v>4.7</v>
      </c>
      <c r="D229" s="35">
        <f>B229-C229</f>
        <v>0.0</v>
      </c>
      <c r="E229" s="50" t="str">
        <f>IF(ABS(D229)&lt;0.000001,"OK","CHECK")</f>
        <v>OK</v>
      </c>
    </row>
    <row r="230" spans="1:5">
      <c r="A230" t="s">
        <v>505</v>
      </c>
      <c r="B230" s="72">
        <f>Lines!$R$23</f>
        <v>0.013</v>
      </c>
      <c r="C230" s="72">
        <v>0.013</v>
      </c>
      <c r="D230" s="72">
        <f>B230-C230</f>
        <v>0.0</v>
      </c>
      <c r="E230" s="50" t="str">
        <f>IF(ABS(D230)&lt;0.000001,"OK","CHECK")</f>
        <v>OK</v>
      </c>
    </row>
    <row r="231" spans="1:5">
      <c r="A231" t="s">
        <v>506</v>
      </c>
      <c r="B231" s="33">
        <f>Lines!$S$23</f>
        <v>12000000</v>
      </c>
      <c r="C231" s="33">
        <v>12000000</v>
      </c>
      <c r="D231" s="33">
        <f>B231-C231</f>
        <v>0</v>
      </c>
      <c r="E231" s="50" t="str">
        <f>IF(ABS(D231)&lt;0.000001,"OK","CHECK")</f>
        <v>OK</v>
      </c>
    </row>
    <row r="232" spans="1:5">
      <c r="A232" t="s">
        <v>507</v>
      </c>
      <c r="B232" s="35">
        <f>Lines!$V$23</f>
        <v>2.4</v>
      </c>
      <c r="C232" s="35">
        <v>2.4</v>
      </c>
      <c r="D232" s="35">
        <f>B232-C232</f>
        <v>0.0</v>
      </c>
      <c r="E232" s="50" t="str">
        <f>IF(ABS(D232)&lt;0.000001,"OK","CHECK")</f>
        <v>OK</v>
      </c>
    </row>
    <row r="233" spans="1:5">
      <c r="A233" t="s">
        <v>508</v>
      </c>
      <c r="B233" s="72">
        <f>Lines!$R$24</f>
        <v>0.033</v>
      </c>
      <c r="C233" s="72">
        <v>0.033</v>
      </c>
      <c r="D233" s="72">
        <f>B233-C233</f>
        <v>0.0</v>
      </c>
      <c r="E233" s="50" t="str">
        <f>IF(ABS(D233)&lt;0.000001,"OK","CHECK")</f>
        <v>OK</v>
      </c>
    </row>
    <row r="234" spans="1:5">
      <c r="A234" t="s">
        <v>509</v>
      </c>
      <c r="B234" s="33">
        <f>Lines!$S$24</f>
        <v>16800000</v>
      </c>
      <c r="C234" s="33">
        <v>16800000</v>
      </c>
      <c r="D234" s="33">
        <f>B234-C234</f>
        <v>0</v>
      </c>
      <c r="E234" s="50" t="str">
        <f>IF(ABS(D234)&lt;0.000001,"OK","CHECK")</f>
        <v>OK</v>
      </c>
    </row>
    <row r="235" spans="1:5">
      <c r="A235" t="s">
        <v>510</v>
      </c>
      <c r="B235" s="35">
        <f>Lines!$V$24</f>
        <v>3.4</v>
      </c>
      <c r="C235" s="35">
        <v>3.4</v>
      </c>
      <c r="D235" s="35">
        <f>B235-C235</f>
        <v>0.0</v>
      </c>
      <c r="E235" s="50" t="str">
        <f>IF(ABS(D235)&lt;0.000001,"OK","CHECK")</f>
        <v>OK</v>
      </c>
    </row>
    <row r="236" spans="1:5">
      <c r="A236" t="s">
        <v>511</v>
      </c>
      <c r="B236" s="72">
        <f>Lines!$R$25</f>
        <v>0.024</v>
      </c>
      <c r="C236" s="72">
        <v>0.024</v>
      </c>
      <c r="D236" s="72">
        <f>B236-C236</f>
        <v>0.0</v>
      </c>
      <c r="E236" s="50" t="str">
        <f>IF(ABS(D236)&lt;0.000001,"OK","CHECK")</f>
        <v>OK</v>
      </c>
    </row>
    <row r="237" spans="1:5">
      <c r="A237" t="s">
        <v>512</v>
      </c>
      <c r="B237" s="33">
        <f>Lines!$S$25</f>
        <v>21000000</v>
      </c>
      <c r="C237" s="33">
        <v>21000000</v>
      </c>
      <c r="D237" s="33">
        <f>B237-C237</f>
        <v>0</v>
      </c>
      <c r="E237" s="50" t="str">
        <f>IF(ABS(D237)&lt;0.000001,"OK","CHECK")</f>
        <v>OK</v>
      </c>
    </row>
    <row r="238" spans="1:5">
      <c r="A238" t="s">
        <v>513</v>
      </c>
      <c r="B238" s="35">
        <f>Lines!$V$25</f>
        <v>3.5</v>
      </c>
      <c r="C238" s="35">
        <v>3.5</v>
      </c>
      <c r="D238" s="35">
        <f>B238-C238</f>
        <v>0.0</v>
      </c>
      <c r="E238" s="50" t="str">
        <f>IF(ABS(D238)&lt;0.000001,"OK","CHECK")</f>
        <v>OK</v>
      </c>
    </row>
    <row r="239" spans="1:5">
      <c r="A239" t="s">
        <v>514</v>
      </c>
      <c r="B239" s="72">
        <f>Lines!$R$26</f>
        <v>0.02</v>
      </c>
      <c r="C239" s="72">
        <v>0.02</v>
      </c>
      <c r="D239" s="72">
        <f>B239-C239</f>
        <v>0.0</v>
      </c>
      <c r="E239" s="50" t="str">
        <f>IF(ABS(D239)&lt;0.000001,"OK","CHECK")</f>
        <v>OK</v>
      </c>
    </row>
    <row r="240" spans="1:5">
      <c r="A240" t="s">
        <v>515</v>
      </c>
      <c r="B240" s="33">
        <f>Lines!$S$26</f>
        <v>15300000</v>
      </c>
      <c r="C240" s="33">
        <v>15300000</v>
      </c>
      <c r="D240" s="33">
        <f>B240-C240</f>
        <v>0</v>
      </c>
      <c r="E240" s="50" t="str">
        <f>IF(ABS(D240)&lt;0.000001,"OK","CHECK")</f>
        <v>OK</v>
      </c>
    </row>
    <row r="241" spans="1:5">
      <c r="A241" t="s">
        <v>516</v>
      </c>
      <c r="B241" s="35">
        <f>Lines!$V$26</f>
        <v>3.1</v>
      </c>
      <c r="C241" s="35">
        <v>3.1</v>
      </c>
      <c r="D241" s="35">
        <f>B241-C241</f>
        <v>0.0</v>
      </c>
      <c r="E241" s="50" t="str">
        <f>IF(ABS(D241)&lt;0.000001,"OK","CHECK")</f>
        <v>OK</v>
      </c>
    </row>
    <row r="242" spans="1:5">
      <c r="A242" t="s">
        <v>517</v>
      </c>
      <c r="B242" s="72">
        <f>Lines!$R$27</f>
        <v>0.025</v>
      </c>
      <c r="C242" s="72">
        <v>0.025</v>
      </c>
      <c r="D242" s="72">
        <f>B242-C242</f>
        <v>0.0</v>
      </c>
      <c r="E242" s="50" t="str">
        <f>IF(ABS(D242)&lt;0.000001,"OK","CHECK")</f>
        <v>OK</v>
      </c>
    </row>
    <row r="243" spans="1:5">
      <c r="A243" t="s">
        <v>518</v>
      </c>
      <c r="B243" s="33">
        <f>Lines!$S$27</f>
        <v>4000000</v>
      </c>
      <c r="C243" s="33">
        <v>4000000</v>
      </c>
      <c r="D243" s="33">
        <f>B243-C243</f>
        <v>0</v>
      </c>
      <c r="E243" s="50" t="str">
        <f>IF(ABS(D243)&lt;0.000001,"OK","CHECK")</f>
        <v>OK</v>
      </c>
    </row>
    <row r="244" spans="1:5">
      <c r="A244" t="s">
        <v>519</v>
      </c>
      <c r="B244" s="35">
        <f>Lines!$V$27</f>
        <v>0.8</v>
      </c>
      <c r="C244" s="35">
        <v>0.8</v>
      </c>
      <c r="D244" s="35">
        <f>B244-C244</f>
        <v>0.0</v>
      </c>
      <c r="E244" s="50" t="str">
        <f>IF(ABS(D244)&lt;0.000001,"OK","CHECK")</f>
        <v>OK</v>
      </c>
    </row>
    <row r="245" spans="1:5">
      <c r="A245" t="s">
        <v>520</v>
      </c>
      <c r="B245" s="33">
        <f>Construction!$C$28</f>
        <v>7500000</v>
      </c>
      <c r="C245" s="33">
        <v>7500000</v>
      </c>
      <c r="D245" s="33">
        <f>B245-C245</f>
        <v>0</v>
      </c>
      <c r="E245" s="50" t="str">
        <f>IF(ABS(D245)&lt;0.000001,"OK","CHECK")</f>
        <v>OK</v>
      </c>
    </row>
    <row r="246" spans="1:5">
      <c r="A246" t="s">
        <v>521</v>
      </c>
      <c r="B246" s="33">
        <f>Construction!$C$29</f>
        <v>10400000</v>
      </c>
      <c r="C246" s="33">
        <v>10400000</v>
      </c>
      <c r="D246" s="33">
        <f>B246-C246</f>
        <v>0</v>
      </c>
      <c r="E246" s="50" t="str">
        <f>IF(ABS(D246)&lt;0.000001,"OK","CHECK")</f>
        <v>OK</v>
      </c>
    </row>
    <row r="247" spans="1:5">
      <c r="A247" t="s">
        <v>522</v>
      </c>
      <c r="B247" s="33">
        <f>Construction!$B$34</f>
        <v>10000000</v>
      </c>
      <c r="C247" s="33">
        <v>10000000</v>
      </c>
      <c r="D247" s="33">
        <f>B247-C247</f>
        <v>0</v>
      </c>
      <c r="E247" s="50" t="str">
        <f>IF(ABS(D247)&lt;0.000001,"OK","CHECK")</f>
        <v>OK</v>
      </c>
    </row>
    <row r="248" spans="1:5">
      <c r="A248" t="s">
        <v>523</v>
      </c>
      <c r="B248" s="33">
        <f>Construction!$F$34</f>
        <v>5000000</v>
      </c>
      <c r="C248" s="33">
        <v>5000000</v>
      </c>
      <c r="D248" s="33">
        <f>B248-C248</f>
        <v>0</v>
      </c>
      <c r="E248" s="50" t="str">
        <f>IF(ABS(D248)&lt;0.000001,"OK","CHECK")</f>
        <v>OK</v>
      </c>
    </row>
    <row r="249" spans="1:5">
      <c r="A249" t="s">
        <v>524</v>
      </c>
      <c r="B249" s="33">
        <f>Construction!$B$42</f>
        <v>10000000</v>
      </c>
      <c r="C249" s="33">
        <v>10000000</v>
      </c>
      <c r="D249" s="33">
        <f>B249-C249</f>
        <v>0</v>
      </c>
      <c r="E249" s="50" t="str">
        <f>IF(ABS(D249)&lt;0.000001,"OK","CHECK")</f>
        <v>OK</v>
      </c>
    </row>
    <row r="250" spans="1:5">
      <c r="A250" t="s">
        <v>525</v>
      </c>
      <c r="B250" s="33">
        <f>Construction!$F$42</f>
        <v>5000000</v>
      </c>
      <c r="C250" s="33">
        <v>5000000</v>
      </c>
      <c r="D250" s="33">
        <f>B250-C250</f>
        <v>0</v>
      </c>
      <c r="E250" s="50" t="str">
        <f>IF(ABS(D250)&lt;0.000001,"OK","CHECK")</f>
        <v>OK</v>
      </c>
    </row>
    <row r="251" spans="1:5">
      <c r="A251" t="s">
        <v>526</v>
      </c>
      <c r="B251" s="33">
        <f>Construction!$B$48</f>
        <v>6000000</v>
      </c>
      <c r="C251" s="33">
        <v>6000000</v>
      </c>
      <c r="D251" s="33">
        <f>B251-C251</f>
        <v>0</v>
      </c>
      <c r="E251" s="50" t="str">
        <f>IF(ABS(D251)&lt;0.000001,"OK","CHECK")</f>
        <v>OK</v>
      </c>
    </row>
    <row r="252" spans="1:5">
      <c r="A252" t="s">
        <v>527</v>
      </c>
      <c r="B252" s="33">
        <f>Construction!$F$48</f>
        <v>9000000</v>
      </c>
      <c r="C252" s="33">
        <v>9000000</v>
      </c>
      <c r="D252" s="33">
        <f>B252-C252</f>
        <v>0</v>
      </c>
      <c r="E252" s="50" t="str">
        <f>IF(ABS(D252)&lt;0.000001,"OK","CHECK")</f>
        <v>OK</v>
      </c>
    </row>
    <row r="253" spans="1:5">
      <c r="A253" t="s">
        <v>528</v>
      </c>
      <c r="B253" s="33">
        <f>Construction!$F$51</f>
        <v>19000000</v>
      </c>
      <c r="C253" s="33">
        <v>19000000</v>
      </c>
      <c r="D253" s="33">
        <f>B253-C253</f>
        <v>0</v>
      </c>
      <c r="E253" s="50" t="str">
        <f>IF(ABS(D253)&lt;0.000001,"OK","CHECK")</f>
        <v>OK</v>
      </c>
    </row>
    <row r="254" spans="1:5">
      <c r="A254" t="s">
        <v>529</v>
      </c>
      <c r="B254" s="33">
        <f>Construction!$B$54</f>
        <v>100500000</v>
      </c>
      <c r="C254" s="33">
        <v>100500000</v>
      </c>
      <c r="D254" s="33">
        <f>B254-C254</f>
        <v>0</v>
      </c>
      <c r="E254" s="50" t="str">
        <f>IF(ABS(D254)&lt;0.000001,"OK","CHECK")</f>
        <v>OK</v>
      </c>
    </row>
    <row r="255" spans="1:5">
      <c r="A255" t="s">
        <v>530</v>
      </c>
      <c r="B255" s="35">
        <f>Construction!$B$55</f>
        <v>1.0</v>
      </c>
      <c r="C255" s="35">
        <v>1</v>
      </c>
      <c r="D255" s="35">
        <f>B255-C255</f>
        <v>0.0</v>
      </c>
      <c r="E255" s="50" t="str">
        <f>IF(ABS(D255)&lt;0.000001,"OK","CHECK")</f>
        <v>OK</v>
      </c>
    </row>
    <row r="256" spans="1:5">
      <c r="A256" t="s">
        <v>40</v>
      </c>
      <c r="B256" s="33">
        <f>CompanyCap</f>
        <v>10000000</v>
      </c>
      <c r="C256" s="33">
        <v>10000000</v>
      </c>
      <c r="D256" s="33">
        <f>B256-C256</f>
        <v>0</v>
      </c>
      <c r="E256" s="50" t="str">
        <f>IF(ABS(D256)&lt;0.000001,"OK","CHECK")</f>
        <v>OK</v>
      </c>
    </row>
    <row r="257" spans="1:5">
      <c r="A257" t="s">
        <v>58</v>
      </c>
      <c r="B257" s="33">
        <f>GPCommitMin</f>
        <v>1000000</v>
      </c>
      <c r="C257" s="33">
        <v>1000000</v>
      </c>
      <c r="D257" s="33">
        <f>B257-C257</f>
        <v>0</v>
      </c>
      <c r="E257" s="50" t="str">
        <f>IF(ABS(D257)&lt;0.000001,"OK","CHECK")</f>
        <v>OK</v>
      </c>
    </row>
    <row r="258" spans="1:5">
      <c r="A258" t="s">
        <v>531</v>
      </c>
      <c r="B258" s="73" t="str">
        <f>Construction!$B$53</f>
        <v>S-01</v>
      </c>
      <c r="C258" s="73" t="s">
        <v>65</v>
      </c>
      <c r="E258" s="50" t="str">
        <f>IF(B258=C258,"OK","CHECK")</f>
        <v>OK</v>
      </c>
    </row>
    <row r="260" spans="1:5">
      <c r="A260" s="3" t="s">
        <v>532</v>
      </c>
    </row>
    <row r="261" spans="1:5">
      <c r="A261" t="s">
        <v>533</v>
      </c>
      <c r="E261" s="50" t="str">
        <f>IF(Construction!$B$22&gt;=0,"OK","CHECK")</f>
        <v>OK</v>
      </c>
    </row>
    <row r="262" spans="1:5">
      <c r="A262" t="s">
        <v>534</v>
      </c>
      <c r="E262" s="50" t="str">
        <f>IF('Cash flows'!$B$42&lt;=Commitments,"OK","CHECK")</f>
        <v>OK</v>
      </c>
    </row>
    <row r="263" spans="1:5">
      <c r="A263" t="s">
        <v>535</v>
      </c>
      <c r="E263" s="50" t="str">
        <f>IF('Cash flows'!$B$51&lt;1,"OK","CHECK")</f>
        <v>OK</v>
      </c>
    </row>
    <row r="264" spans="1:5">
      <c r="A264" t="s">
        <v>536</v>
      </c>
      <c r="E264" s="50" t="str">
        <f>IF('Cash flows'!$B$87&lt;=Commitments,"OK","CHECK")</f>
        <v>OK</v>
      </c>
    </row>
    <row r="265" spans="1:5">
      <c r="A265" t="s">
        <v>537</v>
      </c>
      <c r="E265" s="50" t="str">
        <f>IF('Cash flows'!$B$96&lt;1,"OK","CHECK")</f>
        <v>OK</v>
      </c>
    </row>
    <row r="266" spans="1:5">
      <c r="A266" t="s">
        <v>538</v>
      </c>
      <c r="E266" s="50" t="str">
        <f>IF('Cash flows'!$B$132&lt;=Commitments,"OK","CHECK")</f>
        <v>OK</v>
      </c>
    </row>
    <row r="267" spans="1:5">
      <c r="A267" t="s">
        <v>539</v>
      </c>
      <c r="E267" s="50" t="str">
        <f>IF('Cash flows'!$B$141&lt;1,"OK","CHECK")</f>
        <v>OK</v>
      </c>
    </row>
    <row r="268" spans="1:5">
      <c r="A268" t="s">
        <v>540</v>
      </c>
      <c r="E268" s="50" t="str">
        <f>IF(COUNTIF(Construction!$D$34:$D$50,"CHECK")=0,"OK","CHECK")</f>
        <v>OK</v>
      </c>
    </row>
    <row r="269" spans="1:5">
      <c r="A269" t="s">
        <v>541</v>
      </c>
      <c r="E269" s="50" t="str">
        <f>IF(Construction!$H$8&gt;=GrowthDirectMin,"OK","CHECK")</f>
        <v>OK</v>
      </c>
    </row>
    <row r="270" spans="1:5">
      <c r="A270" t="s">
        <v>542</v>
      </c>
      <c r="E270" s="50" t="str">
        <f>Construction!$F$28</f>
        <v>OK</v>
      </c>
    </row>
    <row r="271" spans="1:5">
      <c r="A271" t="s">
        <v>543</v>
      </c>
      <c r="E271" s="50" t="str">
        <f>Construction!$F$29</f>
        <v>OK</v>
      </c>
    </row>
  </sheetData>
  <conditionalFormatting sqref="E7:E271">
    <cfRule type="cellIs" dxfId="0" priority="1" operator="equal">
      <formula>"OK"</formula>
    </cfRule>
    <cfRule type="cellIs" dxfId="1" priority="2" operator="equal">
      <formula>"CHECK"</formula>
    </cfRule>
  </conditionalFormatting>
  <conditionalFormatting sqref="A4">
    <cfRule type="containsText" dxfId="0" priority="3" operator="containsText" text="PASS">
      <formula>NOT(ISERROR(SEARCH("PASS",A4)))</formula>
    </cfRule>
    <cfRule type="containsText" dxfId="1" priority="4" operator="containsText" text="FAILED">
      <formula>NOT(ISERROR(SEARCH("FAILED",A4)))</formula>
    </cfRule>
  </conditionalFormatting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39</vt:i4>
      </vt:variant>
    </vt:vector>
  </HeadingPairs>
  <TitlesOfParts>
    <vt:vector size="46" baseType="lpstr">
      <vt:lpstr>Read me</vt:lpstr>
      <vt:lpstr>Assumptions</vt:lpstr>
      <vt:lpstr>Lines</vt:lpstr>
      <vt:lpstr>Construction</vt:lpstr>
      <vt:lpstr>Cash flows</vt:lpstr>
      <vt:lpstr>Performance</vt:lpstr>
      <vt:lpstr>Checks</vt:lpstr>
      <vt:lpstr>CapBase</vt:lpstr>
      <vt:lpstr>CapStress</vt:lpstr>
      <vt:lpstr>CapTarget</vt:lpstr>
      <vt:lpstr>Carry</vt:lpstr>
      <vt:lpstr>CatchUp</vt:lpstr>
      <vt:lpstr>ChecksStatus</vt:lpstr>
      <vt:lpstr>ClosingMonths</vt:lpstr>
      <vt:lpstr>Commitments</vt:lpstr>
      <vt:lpstr>CompanyCap</vt:lpstr>
      <vt:lpstr>CompanyCapPct</vt:lpstr>
      <vt:lpstr>CompanyMaxSPV</vt:lpstr>
      <vt:lpstr>EuropeMinPct</vt:lpstr>
      <vt:lpstr>FeeFirstClose</vt:lpstr>
      <vt:lpstr>FeeIP</vt:lpstr>
      <vt:lpstr>FeePost</vt:lpstr>
      <vt:lpstr>GPCommitMin</vt:lpstr>
      <vt:lpstr>GPCommitPct</vt:lpstr>
      <vt:lpstr>GrowthDirectMin</vt:lpstr>
      <vt:lpstr>Horizon</vt:lpstr>
      <vt:lpstr>Hurdle</vt:lpstr>
      <vt:lpstr>IPYears</vt:lpstr>
      <vt:lpstr>QualifyingMinPct</vt:lpstr>
      <vt:lpstr>ResSeed_bridges</vt:lpstr>
      <vt:lpstr>ResSeed_graduation_pct</vt:lpstr>
      <vt:lpstr>ResSeed_next_round</vt:lpstr>
      <vt:lpstr>ResSeed_pro_rata_pct</vt:lpstr>
      <vt:lpstr>ResVenture_bridges</vt:lpstr>
      <vt:lpstr>ResVenture_graduation_pct</vt:lpstr>
      <vt:lpstr>ResVenture_next_round</vt:lpstr>
      <vt:lpstr>ResVenture_pro_rata_pct</vt:lpstr>
      <vt:lpstr>RunningCost</vt:lpstr>
      <vt:lpstr>SecCo1</vt:lpstr>
      <vt:lpstr>SecCo2</vt:lpstr>
      <vt:lpstr>SecPrice</vt:lpstr>
      <vt:lpstr>SecShare</vt:lpstr>
      <vt:lpstr>SecYear</vt:lpstr>
      <vt:lpstr>SetupCost</vt:lpstr>
      <vt:lpstr>TailCost</vt:lpstr>
      <vt:lpstr>TermYears</vt:lpstr>
    </vt:vector>
  </TitlesOfParts>
  <Company>ProFund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ProFund Fund I - Fund model (v2)</dc:title>
  <dc:creator>ProFund</dc:creator>
  <dc:description>EuVECA pre-marketing communication. Generated by scripts/fund_xlsx.py.</dc:description>
  <cp:lastModifiedBy>ProFund</cp:lastModifiedBy>
  <dcterms:created xsi:type="dcterms:W3CDTF">2026-10-29T00:00:00Z</dcterms:created>
  <dcterms:modified xsi:type="dcterms:W3CDTF">2026-10-29T00:00:00Z</dcterms:modified>
</cp:coreProperties>
</file>